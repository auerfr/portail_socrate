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ésences 2023 2024" sheetId="1" state="visible" r:id="rId3"/>
    <sheet name="Sheet1" sheetId="2" state="visible" r:id="rId4"/>
  </sheets>
  <definedNames>
    <definedName function="false" hidden="true" localSheetId="0" name="_xlnm._FilterDatabase" vbProcedure="false">'Présences 2023 2024'!$A$2:$AI$32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<sst xmlns="http://schemas.openxmlformats.org/spreadsheetml/2006/main" count="308" uniqueCount="80">
  <si>
    <t xml:space="preserve">Nb tenues</t>
  </si>
  <si>
    <t xml:space="preserve">A /  E OFFIC</t>
  </si>
  <si>
    <t xml:space="preserve">OFF</t>
  </si>
  <si>
    <t xml:space="preserve">Dispensé</t>
  </si>
  <si>
    <t xml:space="preserve">Nom/ Tenue effectuée</t>
  </si>
  <si>
    <t xml:space="preserve">Grade </t>
  </si>
  <si>
    <t xml:space="preserve">X</t>
  </si>
  <si>
    <t xml:space="preserve">% presence</t>
  </si>
  <si>
    <t xml:space="preserve">%absence</t>
  </si>
  <si>
    <t xml:space="preserve">%excuse</t>
  </si>
  <si>
    <t xml:space="preserve">%dispense</t>
  </si>
  <si>
    <t xml:space="preserve">% abs+exc</t>
  </si>
  <si>
    <t xml:space="preserve">Excusé</t>
  </si>
  <si>
    <t xml:space="preserve">Grade requis pour tenue</t>
  </si>
  <si>
    <t xml:space="preserve">App∴ </t>
  </si>
  <si>
    <t xml:space="preserve">AGNOUNA ONANA Alphonse</t>
  </si>
  <si>
    <t xml:space="preserve">M∴ </t>
  </si>
  <si>
    <t xml:space="preserve">P</t>
  </si>
  <si>
    <t xml:space="preserve">A</t>
  </si>
  <si>
    <t xml:space="preserve">E</t>
  </si>
  <si>
    <t xml:space="preserve">Absent</t>
  </si>
  <si>
    <t xml:space="preserve">VM</t>
  </si>
  <si>
    <t xml:space="preserve">AUER François Régis</t>
  </si>
  <si>
    <t xml:space="preserve">Présent</t>
  </si>
  <si>
    <t xml:space="preserve">BUR Patrick</t>
  </si>
  <si>
    <t xml:space="preserve">Disp</t>
  </si>
  <si>
    <t xml:space="preserve">84 ter</t>
  </si>
  <si>
    <t xml:space="preserve">Butterlin Christophe</t>
  </si>
  <si>
    <t xml:space="preserve">Cadona Alain</t>
  </si>
  <si>
    <t xml:space="preserve">Dem 31/12</t>
  </si>
  <si>
    <t xml:space="preserve">CHANSON Claire</t>
  </si>
  <si>
    <t xml:space="preserve">CORNELISE Claire</t>
  </si>
  <si>
    <t xml:space="preserve">Exp</t>
  </si>
  <si>
    <t xml:space="preserve">Dangoumau Tristan</t>
  </si>
  <si>
    <t xml:space="preserve">Couv</t>
  </si>
  <si>
    <t xml:space="preserve">Dardenne Gilles</t>
  </si>
  <si>
    <t xml:space="preserve">DEL VECCHIO Jean Pierre</t>
  </si>
  <si>
    <t xml:space="preserve">DILLENSCHNEIDER Michel</t>
  </si>
  <si>
    <t xml:space="preserve">Hops</t>
  </si>
  <si>
    <t xml:space="preserve">DUBOIS Jean-Luc</t>
  </si>
  <si>
    <t xml:space="preserve">Dupont Nicolas</t>
  </si>
  <si>
    <t xml:space="preserve">1er Surv</t>
  </si>
  <si>
    <t xml:space="preserve">FAIVRE Alain</t>
  </si>
  <si>
    <t xml:space="preserve">Guerné Dominique</t>
  </si>
  <si>
    <t xml:space="preserve">Tres</t>
  </si>
  <si>
    <t xml:space="preserve">Ibba Jean marc</t>
  </si>
  <si>
    <t xml:space="preserve">Klein Thomas</t>
  </si>
  <si>
    <t xml:space="preserve">Or</t>
  </si>
  <si>
    <t xml:space="preserve">LEBOSSÉ Cédric</t>
  </si>
  <si>
    <t xml:space="preserve">LEROY Christine</t>
  </si>
  <si>
    <t xml:space="preserve">luzerne Christian</t>
  </si>
  <si>
    <t xml:space="preserve">MaitrePierre Anne Sophie</t>
  </si>
  <si>
    <t xml:space="preserve">MANGENOT Gerard</t>
  </si>
  <si>
    <t xml:space="preserve">Harm</t>
  </si>
  <si>
    <t xml:space="preserve">OUI</t>
  </si>
  <si>
    <t xml:space="preserve">POIAREZ Jean Claude</t>
  </si>
  <si>
    <t xml:space="preserve">POLLO Michel</t>
  </si>
  <si>
    <t xml:space="preserve">REYTER grégory</t>
  </si>
  <si>
    <t xml:space="preserve">ROCHE  Dominique</t>
  </si>
  <si>
    <t xml:space="preserve">MdC</t>
  </si>
  <si>
    <t xml:space="preserve">SUSSET Valérie</t>
  </si>
  <si>
    <t xml:space="preserve">TRIEU Jean Baptiste</t>
  </si>
  <si>
    <t xml:space="preserve">Sec</t>
  </si>
  <si>
    <t xml:space="preserve">TRUFFERT Ariane</t>
  </si>
  <si>
    <t xml:space="preserve">Total</t>
  </si>
  <si>
    <t xml:space="preserve">Nb Present</t>
  </si>
  <si>
    <t xml:space="preserve">Nb Absents</t>
  </si>
  <si>
    <t xml:space="preserve">Nb Excusés</t>
  </si>
  <si>
    <t xml:space="preserve">Nb Dispensé</t>
  </si>
  <si>
    <t xml:space="preserve">% Present</t>
  </si>
  <si>
    <t xml:space="preserve">% Absents</t>
  </si>
  <si>
    <t xml:space="preserve">% Excusés</t>
  </si>
  <si>
    <t xml:space="preserve">% Dispensé</t>
  </si>
  <si>
    <t xml:space="preserve">% Presence sans dispensé</t>
  </si>
  <si>
    <t xml:space="preserve">% Absence et excusé sans dispensé</t>
  </si>
  <si>
    <t xml:space="preserve">Nb App</t>
  </si>
  <si>
    <t xml:space="preserve">Nb Comp</t>
  </si>
  <si>
    <t xml:space="preserve">Nb M</t>
  </si>
  <si>
    <t xml:space="preserve">M Passants</t>
  </si>
  <si>
    <t xml:space="preserve">Socarte + Passants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</si>
</sst>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\ mmm\ yy"/>
    <numFmt numFmtId="166" formatCode="General"/>
    <numFmt numFmtId="167" formatCode="0\ %"/>
    <numFmt numFmtId="168" formatCode="0.0%"/>
    <numFmt numFmtId="169" formatCode="0.00"/>
  </numFmts>
  <fonts count="8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36"/>
      <color theme="1"/>
      <name val="Calibri"/>
      <family val="2"/>
      <charset val="1"/>
    </font>
    <font>
      <sz val="14"/>
      <color theme="0"/>
      <name val="Calibri"/>
      <family val="2"/>
      <charset val="1"/>
    </font>
    <font>
      <sz val="12"/>
      <name val="Calibri"/>
      <family val="2"/>
      <charset val="1"/>
    </font>
    <font>
      <sz val="12"/>
      <color theme="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3D85C6"/>
        <bgColor rgb="FF339966"/>
      </patternFill>
    </fill>
    <fill>
      <patternFill patternType="solid">
        <fgColor rgb="FFF6B26B"/>
        <bgColor rgb="FFFFC000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  <fill>
      <patternFill patternType="solid">
        <fgColor theme="3" tint="0.5999"/>
        <bgColor rgb="FF99CCFF"/>
      </patternFill>
    </fill>
    <fill>
      <patternFill patternType="solid">
        <fgColor theme="2"/>
        <bgColor rgb="FFFFFFFF"/>
      </patternFill>
    </fill>
    <fill>
      <patternFill patternType="solid">
        <fgColor theme="2" tint="-0.5"/>
        <bgColor rgb="FF666699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left" vertical="bottom" textRotation="45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left" vertical="bottom" textRotation="45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left" vertical="bottom" textRotation="45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7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8" borderId="1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8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9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9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1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ADB9CA"/>
          <bgColor rgb="FF000000"/>
        </patternFill>
      </fill>
    </dxf>
    <dxf>
      <fill>
        <patternFill patternType="solid">
          <fgColor rgb="FFF6B26B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3D85C6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A8D27F"/>
          <bgColor rgb="FF000000"/>
        </patternFill>
      </fill>
    </dxf>
    <dxf>
      <fill>
        <patternFill patternType="solid">
          <fgColor rgb="FFB1D580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98370"/>
          <bgColor rgb="FF000000"/>
        </patternFill>
      </fill>
    </dxf>
    <dxf>
      <fill>
        <patternFill patternType="solid">
          <fgColor rgb="FFFBAD78"/>
          <bgColor rgb="FF000000"/>
        </patternFill>
      </fill>
    </dxf>
    <dxf>
      <fill>
        <patternFill patternType="solid">
          <fgColor rgb="FFFCB77A"/>
          <bgColor rgb="FF000000"/>
        </patternFill>
      </fill>
    </dxf>
    <dxf>
      <fill>
        <patternFill patternType="solid">
          <fgColor rgb="FFFDD07E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EBE582"/>
          <bgColor rgb="FF000000"/>
        </patternFill>
      </fill>
    </dxf>
    <dxf>
      <fill>
        <patternFill patternType="solid">
          <fgColor rgb="FFFCA276"/>
          <bgColor rgb="FF000000"/>
        </patternFill>
      </fill>
    </dxf>
    <dxf>
      <fill>
        <patternFill patternType="solid">
          <fgColor rgb="FFFCAB78"/>
          <bgColor rgb="FF000000"/>
        </patternFill>
      </fill>
    </dxf>
    <dxf>
      <fill>
        <patternFill patternType="solid">
          <fgColor rgb="FFFDC07C"/>
          <bgColor rgb="FF000000"/>
        </patternFill>
      </fill>
    </dxf>
    <dxf>
      <fill>
        <patternFill patternType="solid">
          <fgColor rgb="FFFED680"/>
          <bgColor rgb="FF000000"/>
        </patternFill>
      </fill>
    </dxf>
    <dxf>
      <fill>
        <patternFill patternType="solid">
          <fgColor rgb="FFFA7F7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767171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6B26B"/>
      <rgbColor rgb="FF3D85C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55"/>
  <sheetViews>
    <sheetView showFormulas="false" showGridLines="true" showRowColHeaders="true" showZeros="true" rightToLeft="false" tabSelected="true" showOutlineSymbols="true" defaultGridColor="true" view="normal" topLeftCell="A1" colorId="64" zoomScale="89" zoomScaleNormal="89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K4" activeCellId="0" sqref="K4"/>
    </sheetView>
  </sheetViews>
  <sheetFormatPr defaultColWidth="11.00390625" defaultRowHeight="15.75" zeroHeight="false" outlineLevelRow="0" outlineLevelCol="0"/>
  <cols>
    <col collapsed="false" customWidth="true" hidden="false" outlineLevel="0" max="1" min="1" style="1" width="6.5"/>
    <col collapsed="false" customWidth="true" hidden="false" outlineLevel="0" max="2" min="2" style="1" width="5.16"/>
    <col collapsed="false" customWidth="true" hidden="false" outlineLevel="0" max="3" min="3" style="1" width="30.16"/>
    <col collapsed="false" customWidth="true" hidden="false" outlineLevel="0" max="4" min="4" style="1" width="8.5"/>
    <col collapsed="false" customWidth="true" hidden="false" outlineLevel="0" max="6" min="5" style="1" width="7.66"/>
    <col collapsed="false" customWidth="true" hidden="false" outlineLevel="0" max="7" min="7" style="1" width="8.5"/>
    <col collapsed="false" customWidth="true" hidden="false" outlineLevel="0" max="12" min="8" style="1" width="7.66"/>
    <col collapsed="false" customWidth="true" hidden="false" outlineLevel="0" max="13" min="13" style="1" width="9"/>
    <col collapsed="false" customWidth="true" hidden="false" outlineLevel="0" max="24" min="14" style="1" width="8.34"/>
    <col collapsed="false" customWidth="true" hidden="false" outlineLevel="0" max="25" min="25" style="1" width="4.34"/>
    <col collapsed="false" customWidth="true" hidden="false" outlineLevel="0" max="26" min="26" style="1" width="10.16"/>
    <col collapsed="false" customWidth="true" hidden="false" outlineLevel="0" max="27" min="27" style="1" width="12.34"/>
    <col collapsed="false" customWidth="true" hidden="false" outlineLevel="0" max="28" min="28" style="1" width="9.34"/>
    <col collapsed="false" customWidth="true" hidden="false" outlineLevel="0" max="29" min="29" style="1" width="8.16"/>
    <col collapsed="false" customWidth="true" hidden="false" outlineLevel="0" max="30" min="30" style="1" width="9.84"/>
    <col collapsed="false" customWidth="false" hidden="false" outlineLevel="0" max="32" min="32" style="2" width="11"/>
    <col collapsed="false" customWidth="true" hidden="false" outlineLevel="0" max="35" min="35" style="1" width="7.34"/>
  </cols>
  <sheetData>
    <row r="1" customFormat="false" ht="52.5" hidden="false" customHeight="false" outlineLevel="0" collapsed="false">
      <c r="E1" s="3" t="n">
        <v>45174</v>
      </c>
      <c r="F1" s="4" t="n">
        <v>45189</v>
      </c>
      <c r="G1" s="3" t="n">
        <v>45204</v>
      </c>
      <c r="H1" s="4" t="n">
        <v>45217</v>
      </c>
      <c r="I1" s="3" t="n">
        <v>45232</v>
      </c>
      <c r="J1" s="4" t="n">
        <v>45245</v>
      </c>
      <c r="K1" s="3" t="n">
        <v>45261</v>
      </c>
      <c r="L1" s="4" t="n">
        <v>45280</v>
      </c>
      <c r="M1" s="3" t="n">
        <v>45292</v>
      </c>
      <c r="N1" s="4" t="n">
        <v>45293</v>
      </c>
      <c r="O1" s="3"/>
      <c r="P1" s="4"/>
      <c r="Q1" s="3"/>
      <c r="R1" s="4"/>
      <c r="S1" s="3" t="n">
        <v>45383</v>
      </c>
      <c r="T1" s="4"/>
      <c r="U1" s="3"/>
      <c r="V1" s="5"/>
      <c r="W1" s="3"/>
      <c r="X1" s="4"/>
      <c r="Z1" s="1" t="s">
        <v>0</v>
      </c>
      <c r="AA1" s="6" t="n">
        <v>6</v>
      </c>
      <c r="AF1" s="2" t="s">
        <v>1</v>
      </c>
    </row>
    <row r="2" customFormat="false" ht="18.75" hidden="false" customHeight="false" outlineLevel="0" collapsed="false">
      <c r="A2" s="7" t="s">
        <v>2</v>
      </c>
      <c r="B2" s="7" t="s">
        <v>3</v>
      </c>
      <c r="C2" s="8" t="s">
        <v>4</v>
      </c>
      <c r="D2" s="7" t="s">
        <v>5</v>
      </c>
      <c r="E2" s="9" t="s">
        <v>6</v>
      </c>
      <c r="F2" s="9" t="s">
        <v>6</v>
      </c>
      <c r="G2" s="9" t="s">
        <v>6</v>
      </c>
      <c r="H2" s="9" t="s">
        <v>6</v>
      </c>
      <c r="I2" s="9" t="s">
        <v>6</v>
      </c>
      <c r="J2" s="9" t="s">
        <v>6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7"/>
      <c r="Z2" s="7" t="n">
        <f aca="false">COUNTIF(E2:X2,"X")</f>
        <v>6</v>
      </c>
      <c r="AA2" s="7" t="s">
        <v>7</v>
      </c>
      <c r="AB2" s="7" t="s">
        <v>8</v>
      </c>
      <c r="AC2" s="7" t="s">
        <v>9</v>
      </c>
      <c r="AD2" s="7" t="s">
        <v>10</v>
      </c>
      <c r="AE2" s="7" t="s">
        <v>11</v>
      </c>
      <c r="AG2" s="7"/>
      <c r="AH2" s="7"/>
      <c r="AI2" s="7" t="s">
        <v>12</v>
      </c>
    </row>
    <row r="3" customFormat="false" ht="18" hidden="false" customHeight="false" outlineLevel="0" collapsed="false">
      <c r="C3" s="8" t="s">
        <v>13</v>
      </c>
      <c r="E3" s="7" t="s">
        <v>14</v>
      </c>
      <c r="F3" s="7" t="s">
        <v>14</v>
      </c>
      <c r="G3" s="7" t="s">
        <v>14</v>
      </c>
      <c r="H3" s="7" t="s">
        <v>14</v>
      </c>
      <c r="I3" s="7" t="s">
        <v>14</v>
      </c>
      <c r="J3" s="7" t="s">
        <v>14</v>
      </c>
      <c r="K3" s="7" t="s">
        <v>14</v>
      </c>
      <c r="L3" s="7" t="s">
        <v>14</v>
      </c>
      <c r="M3" s="7" t="s">
        <v>14</v>
      </c>
      <c r="N3" s="7" t="s">
        <v>14</v>
      </c>
      <c r="O3" s="7" t="s">
        <v>14</v>
      </c>
      <c r="P3" s="7" t="s">
        <v>14</v>
      </c>
      <c r="Q3" s="7" t="s">
        <v>14</v>
      </c>
      <c r="R3" s="7" t="s">
        <v>14</v>
      </c>
      <c r="S3" s="7" t="s">
        <v>14</v>
      </c>
      <c r="T3" s="7" t="s">
        <v>14</v>
      </c>
      <c r="U3" s="7" t="s">
        <v>14</v>
      </c>
      <c r="V3" s="7" t="s">
        <v>14</v>
      </c>
      <c r="W3" s="7" t="s">
        <v>14</v>
      </c>
      <c r="X3" s="7" t="s">
        <v>14</v>
      </c>
    </row>
    <row r="4" customFormat="false" ht="15.75" hidden="false" customHeight="false" outlineLevel="0" collapsed="false">
      <c r="C4" s="10" t="s">
        <v>15</v>
      </c>
      <c r="D4" s="7" t="s">
        <v>16</v>
      </c>
      <c r="E4" s="11" t="s">
        <v>17</v>
      </c>
      <c r="F4" s="11" t="s">
        <v>18</v>
      </c>
      <c r="G4" s="11" t="s">
        <v>18</v>
      </c>
      <c r="H4" s="11" t="s">
        <v>18</v>
      </c>
      <c r="I4" s="11" t="s">
        <v>19</v>
      </c>
      <c r="J4" s="12" t="s">
        <v>18</v>
      </c>
      <c r="K4" s="11"/>
      <c r="L4" s="12" t="s">
        <v>19</v>
      </c>
      <c r="M4" s="11"/>
      <c r="N4" s="12"/>
      <c r="O4" s="11"/>
      <c r="P4" s="12"/>
      <c r="Q4" s="11"/>
      <c r="R4" s="12"/>
      <c r="S4" s="11"/>
      <c r="T4" s="12"/>
      <c r="U4" s="11"/>
      <c r="V4" s="12"/>
      <c r="W4" s="11"/>
      <c r="X4" s="12"/>
      <c r="Z4" s="13" t="n">
        <f aca="false">COUNTA(E4:X4)</f>
        <v>7</v>
      </c>
      <c r="AA4" s="14" t="n">
        <f aca="false">COUNTIF($E4:$X4,"P")/Z4</f>
        <v>0.142857142857143</v>
      </c>
      <c r="AB4" s="14" t="n">
        <f aca="false">COUNTIF($E4:$X4,"A")/Z4</f>
        <v>0.571428571428571</v>
      </c>
      <c r="AC4" s="14" t="n">
        <f aca="false">COUNTIF($E4:$X4,"E")/Z4</f>
        <v>0.285714285714286</v>
      </c>
      <c r="AD4" s="14" t="n">
        <f aca="false">IF(B4&lt;&gt;"OUI",COUNTIF($E4:$X4,"Disp")/Z4,1)</f>
        <v>0</v>
      </c>
      <c r="AE4" s="15" t="n">
        <f aca="false">AB4+AC4</f>
        <v>0.857142857142857</v>
      </c>
      <c r="AF4" s="15"/>
      <c r="AI4" s="1" t="s">
        <v>20</v>
      </c>
    </row>
    <row r="5" customFormat="false" ht="15.75" hidden="false" customHeight="false" outlineLevel="0" collapsed="false">
      <c r="A5" s="16" t="s">
        <v>21</v>
      </c>
      <c r="C5" s="17" t="s">
        <v>22</v>
      </c>
      <c r="D5" s="7" t="s">
        <v>16</v>
      </c>
      <c r="E5" s="18" t="s">
        <v>17</v>
      </c>
      <c r="F5" s="18" t="s">
        <v>17</v>
      </c>
      <c r="G5" s="18" t="s">
        <v>17</v>
      </c>
      <c r="H5" s="18" t="s">
        <v>17</v>
      </c>
      <c r="I5" s="18" t="s">
        <v>17</v>
      </c>
      <c r="J5" s="19" t="s">
        <v>17</v>
      </c>
      <c r="K5" s="18"/>
      <c r="L5" s="19" t="s">
        <v>17</v>
      </c>
      <c r="M5" s="18"/>
      <c r="N5" s="19"/>
      <c r="O5" s="18"/>
      <c r="P5" s="19"/>
      <c r="Q5" s="18"/>
      <c r="R5" s="19"/>
      <c r="S5" s="18"/>
      <c r="T5" s="19"/>
      <c r="U5" s="18"/>
      <c r="V5" s="19"/>
      <c r="W5" s="18"/>
      <c r="X5" s="19"/>
      <c r="Z5" s="13" t="n">
        <f aca="false">COUNTA(E5:X5)</f>
        <v>7</v>
      </c>
      <c r="AA5" s="14" t="n">
        <f aca="false">COUNTIF($E5:$X5,"P")/Z5</f>
        <v>1</v>
      </c>
      <c r="AB5" s="14" t="n">
        <f aca="false">COUNTIF($E5:$X5,"A")/Z5</f>
        <v>0</v>
      </c>
      <c r="AC5" s="14" t="n">
        <f aca="false">COUNTIF($E5:$X5,"E")/Z5</f>
        <v>0</v>
      </c>
      <c r="AD5" s="14" t="n">
        <f aca="false">IF(B5&lt;&gt;"OUI",COUNTIF($E5:$X5,"Disp")/Z5,1)</f>
        <v>0</v>
      </c>
      <c r="AE5" s="15" t="n">
        <f aca="false">AB5+AC5</f>
        <v>0</v>
      </c>
      <c r="AF5" s="15"/>
      <c r="AI5" s="1" t="s">
        <v>23</v>
      </c>
    </row>
    <row r="6" customFormat="false" ht="15" hidden="false" customHeight="false" outlineLevel="0" collapsed="false">
      <c r="A6" s="16"/>
      <c r="C6" s="17" t="s">
        <v>24</v>
      </c>
      <c r="D6" s="7" t="s">
        <v>16</v>
      </c>
      <c r="E6" s="20" t="s">
        <v>25</v>
      </c>
      <c r="F6" s="18" t="s">
        <v>17</v>
      </c>
      <c r="G6" s="20" t="s">
        <v>25</v>
      </c>
      <c r="H6" s="18" t="s">
        <v>19</v>
      </c>
      <c r="I6" s="20" t="s">
        <v>25</v>
      </c>
      <c r="J6" s="19" t="s">
        <v>17</v>
      </c>
      <c r="K6" s="20" t="s">
        <v>25</v>
      </c>
      <c r="L6" s="19" t="s">
        <v>17</v>
      </c>
      <c r="M6" s="20"/>
      <c r="N6" s="19"/>
      <c r="O6" s="20"/>
      <c r="P6" s="19"/>
      <c r="Q6" s="20"/>
      <c r="R6" s="19"/>
      <c r="S6" s="20"/>
      <c r="T6" s="19"/>
      <c r="U6" s="20"/>
      <c r="V6" s="19"/>
      <c r="W6" s="18"/>
      <c r="X6" s="19"/>
      <c r="Z6" s="13" t="n">
        <f aca="false">COUNTA(E6:X6)</f>
        <v>8</v>
      </c>
      <c r="AA6" s="14" t="n">
        <f aca="false">COUNTIF($E6:$X6,"P")/Z6</f>
        <v>0.375</v>
      </c>
      <c r="AB6" s="14" t="n">
        <f aca="false">COUNTIF($E6:$X6,"A")/Z6</f>
        <v>0</v>
      </c>
      <c r="AC6" s="14" t="n">
        <f aca="false">COUNTIF($E6:$X6,"E")/Z6</f>
        <v>0.125</v>
      </c>
      <c r="AD6" s="14" t="n">
        <f aca="false">IF(B6&lt;&gt;"OUI",COUNTIF($E6:$X6,"Disp")/Z6,1)</f>
        <v>0.5</v>
      </c>
      <c r="AE6" s="15" t="n">
        <f aca="false">AB6+AC6</f>
        <v>0.125</v>
      </c>
      <c r="AF6" s="15" t="n">
        <f aca="false">AE6</f>
        <v>0.125</v>
      </c>
      <c r="AI6" s="1" t="s">
        <v>26</v>
      </c>
    </row>
    <row r="7" customFormat="false" ht="15.75" hidden="false" customHeight="false" outlineLevel="0" collapsed="false">
      <c r="A7" s="16"/>
      <c r="C7" s="17" t="s">
        <v>27</v>
      </c>
      <c r="D7" s="7" t="s">
        <v>16</v>
      </c>
      <c r="E7" s="18" t="s">
        <v>19</v>
      </c>
      <c r="F7" s="18" t="s">
        <v>17</v>
      </c>
      <c r="G7" s="18" t="s">
        <v>17</v>
      </c>
      <c r="H7" s="18" t="s">
        <v>17</v>
      </c>
      <c r="I7" s="18" t="s">
        <v>17</v>
      </c>
      <c r="J7" s="19" t="s">
        <v>17</v>
      </c>
      <c r="K7" s="18"/>
      <c r="L7" s="19" t="s">
        <v>17</v>
      </c>
      <c r="M7" s="18"/>
      <c r="N7" s="19"/>
      <c r="O7" s="18"/>
      <c r="P7" s="19"/>
      <c r="Q7" s="18"/>
      <c r="R7" s="19"/>
      <c r="S7" s="18"/>
      <c r="T7" s="19"/>
      <c r="U7" s="18"/>
      <c r="V7" s="19"/>
      <c r="W7" s="18"/>
      <c r="X7" s="19"/>
      <c r="Z7" s="13" t="n">
        <f aca="false">COUNTA(E7:X7)</f>
        <v>7</v>
      </c>
      <c r="AA7" s="14" t="n">
        <f aca="false">COUNTIF($E7:$X7,"P")/Z7</f>
        <v>0.857142857142857</v>
      </c>
      <c r="AB7" s="14" t="n">
        <f aca="false">COUNTIF($E7:$X7,"A")/Z7</f>
        <v>0</v>
      </c>
      <c r="AC7" s="14" t="n">
        <f aca="false">COUNTIF($E7:$X7,"E")/Z7</f>
        <v>0.142857142857143</v>
      </c>
      <c r="AD7" s="14" t="n">
        <f aca="false">IF(B7&lt;&gt;"OUI",COUNTIF($E7:$X7,"Disp")/Z7,1)</f>
        <v>0</v>
      </c>
      <c r="AE7" s="15" t="n">
        <f aca="false">AB7+AC7</f>
        <v>0.142857142857143</v>
      </c>
      <c r="AF7" s="15"/>
    </row>
    <row r="8" customFormat="false" ht="15.75" hidden="false" customHeight="false" outlineLevel="0" collapsed="false">
      <c r="A8" s="16"/>
      <c r="C8" s="17" t="s">
        <v>28</v>
      </c>
      <c r="D8" s="7" t="s">
        <v>16</v>
      </c>
      <c r="E8" s="18" t="s">
        <v>18</v>
      </c>
      <c r="F8" s="18" t="s">
        <v>19</v>
      </c>
      <c r="G8" s="18" t="s">
        <v>18</v>
      </c>
      <c r="H8" s="18" t="s">
        <v>19</v>
      </c>
      <c r="I8" s="18" t="s">
        <v>18</v>
      </c>
      <c r="J8" s="19" t="s">
        <v>18</v>
      </c>
      <c r="K8" s="18"/>
      <c r="L8" s="19" t="s">
        <v>19</v>
      </c>
      <c r="M8" s="18"/>
      <c r="N8" s="19"/>
      <c r="O8" s="18"/>
      <c r="P8" s="19"/>
      <c r="Q8" s="18"/>
      <c r="R8" s="19"/>
      <c r="S8" s="18"/>
      <c r="T8" s="19"/>
      <c r="U8" s="18"/>
      <c r="V8" s="19"/>
      <c r="W8" s="18"/>
      <c r="X8" s="19"/>
      <c r="Z8" s="13" t="n">
        <f aca="false">COUNTA(E8:X8)</f>
        <v>7</v>
      </c>
      <c r="AA8" s="14" t="n">
        <f aca="false">COUNTIF($E8:$X8,"P")/Z8</f>
        <v>0</v>
      </c>
      <c r="AB8" s="14" t="n">
        <f aca="false">COUNTIF($E8:$X8,"A")/Z8</f>
        <v>0.571428571428571</v>
      </c>
      <c r="AC8" s="14" t="n">
        <f aca="false">COUNTIF($E8:$X8,"E")/Z8</f>
        <v>0.428571428571429</v>
      </c>
      <c r="AD8" s="14" t="n">
        <f aca="false">IF(B8&lt;&gt;"OUI",COUNTIF($E8:$X8,"Disp")/Z8,1)</f>
        <v>0</v>
      </c>
      <c r="AE8" s="15" t="n">
        <f aca="false">AB8+AC8</f>
        <v>1</v>
      </c>
      <c r="AF8" s="15" t="n">
        <f aca="false">AE8</f>
        <v>1</v>
      </c>
    </row>
    <row r="9" customFormat="false" ht="15.75" hidden="false" customHeight="false" outlineLevel="0" collapsed="false">
      <c r="A9" s="16" t="s">
        <v>29</v>
      </c>
      <c r="C9" s="21" t="s">
        <v>30</v>
      </c>
      <c r="D9" s="22" t="s">
        <v>16</v>
      </c>
      <c r="E9" s="23" t="s">
        <v>19</v>
      </c>
      <c r="F9" s="23" t="s">
        <v>19</v>
      </c>
      <c r="G9" s="23" t="s">
        <v>19</v>
      </c>
      <c r="H9" s="23" t="s">
        <v>19</v>
      </c>
      <c r="I9" s="23" t="s">
        <v>19</v>
      </c>
      <c r="J9" s="24" t="s">
        <v>19</v>
      </c>
      <c r="K9" s="23" t="s">
        <v>19</v>
      </c>
      <c r="L9" s="24" t="s">
        <v>19</v>
      </c>
      <c r="M9" s="25"/>
      <c r="N9" s="26"/>
      <c r="O9" s="25"/>
      <c r="P9" s="26"/>
      <c r="Q9" s="25"/>
      <c r="R9" s="26"/>
      <c r="S9" s="25"/>
      <c r="T9" s="26"/>
      <c r="U9" s="25"/>
      <c r="V9" s="26"/>
      <c r="W9" s="25"/>
      <c r="X9" s="26"/>
      <c r="Z9" s="13" t="n">
        <f aca="false">COUNTA(E9:X9)</f>
        <v>8</v>
      </c>
      <c r="AA9" s="14" t="n">
        <f aca="false">COUNTIF($E9:$X9,"P")/Z9</f>
        <v>0</v>
      </c>
      <c r="AB9" s="14" t="n">
        <f aca="false">COUNTIF($E9:$X9,"A")/Z9</f>
        <v>0</v>
      </c>
      <c r="AC9" s="14" t="n">
        <f aca="false">COUNTIF($E9:$X9,"E")/Z9</f>
        <v>1</v>
      </c>
      <c r="AD9" s="14" t="n">
        <f aca="false">IF(B9&lt;&gt;"OUI",COUNTIF($E9:$X9,"Disp")/Z9,1)</f>
        <v>0</v>
      </c>
      <c r="AE9" s="15" t="n">
        <f aca="false">AB9+AC9</f>
        <v>1</v>
      </c>
      <c r="AF9" s="15" t="n">
        <f aca="false">AE9</f>
        <v>1</v>
      </c>
    </row>
    <row r="10" customFormat="false" ht="15.75" hidden="false" customHeight="false" outlineLevel="0" collapsed="false">
      <c r="A10" s="16"/>
      <c r="C10" s="17" t="s">
        <v>31</v>
      </c>
      <c r="D10" s="7" t="s">
        <v>16</v>
      </c>
      <c r="E10" s="18" t="s">
        <v>17</v>
      </c>
      <c r="F10" s="18" t="s">
        <v>17</v>
      </c>
      <c r="G10" s="18" t="s">
        <v>17</v>
      </c>
      <c r="H10" s="18" t="s">
        <v>17</v>
      </c>
      <c r="I10" s="18" t="s">
        <v>17</v>
      </c>
      <c r="J10" s="19" t="s">
        <v>17</v>
      </c>
      <c r="K10" s="18"/>
      <c r="L10" s="19" t="s">
        <v>17</v>
      </c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Z10" s="13" t="n">
        <f aca="false">COUNTA(E10:X10)</f>
        <v>7</v>
      </c>
      <c r="AA10" s="14" t="n">
        <f aca="false">COUNTIF($E10:$X10,"P")/Z10</f>
        <v>1</v>
      </c>
      <c r="AB10" s="14" t="n">
        <f aca="false">COUNTIF($E10:$X10,"A")/Z10</f>
        <v>0</v>
      </c>
      <c r="AC10" s="14" t="n">
        <f aca="false">COUNTIF($E10:$X10,"E")/Z10</f>
        <v>0</v>
      </c>
      <c r="AD10" s="14" t="n">
        <f aca="false">IF(B10&lt;&gt;"OUI",COUNTIF($E10:$X10,"Disp")/Z10,1)</f>
        <v>0</v>
      </c>
      <c r="AE10" s="15" t="n">
        <f aca="false">AB10+AC10</f>
        <v>0</v>
      </c>
      <c r="AF10" s="15"/>
    </row>
    <row r="11" customFormat="false" ht="15.75" hidden="false" customHeight="false" outlineLevel="0" collapsed="false">
      <c r="A11" s="16" t="s">
        <v>32</v>
      </c>
      <c r="C11" s="17" t="s">
        <v>33</v>
      </c>
      <c r="D11" s="7" t="s">
        <v>16</v>
      </c>
      <c r="E11" s="18" t="s">
        <v>17</v>
      </c>
      <c r="F11" s="18" t="s">
        <v>17</v>
      </c>
      <c r="G11" s="18" t="s">
        <v>19</v>
      </c>
      <c r="H11" s="18" t="s">
        <v>17</v>
      </c>
      <c r="I11" s="18" t="s">
        <v>19</v>
      </c>
      <c r="J11" s="19" t="s">
        <v>19</v>
      </c>
      <c r="K11" s="18"/>
      <c r="L11" s="19" t="s">
        <v>17</v>
      </c>
      <c r="M11" s="18"/>
      <c r="N11" s="19"/>
      <c r="O11" s="18"/>
      <c r="P11" s="19"/>
      <c r="Q11" s="18"/>
      <c r="R11" s="19"/>
      <c r="S11" s="18"/>
      <c r="T11" s="19"/>
      <c r="U11" s="18"/>
      <c r="V11" s="19"/>
      <c r="W11" s="18"/>
      <c r="X11" s="19"/>
      <c r="Z11" s="13" t="n">
        <f aca="false">COUNTA(E11:X11)</f>
        <v>7</v>
      </c>
      <c r="AA11" s="14" t="n">
        <f aca="false">COUNTIF($E11:$X11,"P")/Z11</f>
        <v>0.571428571428571</v>
      </c>
      <c r="AB11" s="14" t="n">
        <f aca="false">COUNTIF($E11:$X11,"A")/Z11</f>
        <v>0</v>
      </c>
      <c r="AC11" s="14" t="n">
        <f aca="false">COUNTIF($E11:$X11,"E")/Z11</f>
        <v>0.428571428571429</v>
      </c>
      <c r="AD11" s="14" t="n">
        <f aca="false">IF(B11&lt;&gt;"OUI",COUNTIF($E11:$X11,"Disp")/Z11,1)</f>
        <v>0</v>
      </c>
      <c r="AE11" s="15" t="n">
        <f aca="false">AB11+AC11</f>
        <v>0.428571428571429</v>
      </c>
      <c r="AF11" s="15"/>
    </row>
    <row r="12" customFormat="false" ht="15.75" hidden="false" customHeight="false" outlineLevel="0" collapsed="false">
      <c r="A12" s="16" t="s">
        <v>34</v>
      </c>
      <c r="C12" s="17" t="s">
        <v>35</v>
      </c>
      <c r="D12" s="7" t="s">
        <v>16</v>
      </c>
      <c r="E12" s="18" t="s">
        <v>19</v>
      </c>
      <c r="F12" s="18" t="s">
        <v>19</v>
      </c>
      <c r="G12" s="18" t="s">
        <v>19</v>
      </c>
      <c r="H12" s="18" t="s">
        <v>17</v>
      </c>
      <c r="I12" s="18" t="s">
        <v>19</v>
      </c>
      <c r="J12" s="19" t="s">
        <v>17</v>
      </c>
      <c r="K12" s="18"/>
      <c r="L12" s="19" t="s">
        <v>17</v>
      </c>
      <c r="M12" s="18"/>
      <c r="N12" s="19"/>
      <c r="O12" s="18"/>
      <c r="P12" s="19"/>
      <c r="Q12" s="18"/>
      <c r="R12" s="19"/>
      <c r="S12" s="18"/>
      <c r="T12" s="19"/>
      <c r="U12" s="18"/>
      <c r="V12" s="19"/>
      <c r="W12" s="18"/>
      <c r="X12" s="19"/>
      <c r="Z12" s="13" t="n">
        <f aca="false">COUNTA(E12:X12)</f>
        <v>7</v>
      </c>
      <c r="AA12" s="14" t="n">
        <f aca="false">COUNTIF($E12:$X12,"P")/Z12</f>
        <v>0.428571428571429</v>
      </c>
      <c r="AB12" s="14" t="n">
        <f aca="false">COUNTIF($E12:$X12,"A")/Z12</f>
        <v>0</v>
      </c>
      <c r="AC12" s="14" t="n">
        <f aca="false">COUNTIF($E12:$X12,"E")/Z12</f>
        <v>0.571428571428571</v>
      </c>
      <c r="AD12" s="14" t="n">
        <f aca="false">IF(B12&lt;&gt;"OUI",COUNTIF($E12:$X12,"Disp")/Z12,1)</f>
        <v>0</v>
      </c>
      <c r="AE12" s="15" t="n">
        <f aca="false">AB12+AC12</f>
        <v>0.571428571428571</v>
      </c>
      <c r="AF12" s="15"/>
    </row>
    <row r="13" customFormat="false" ht="15.75" hidden="false" customHeight="false" outlineLevel="0" collapsed="false">
      <c r="A13" s="16"/>
      <c r="C13" s="17" t="s">
        <v>36</v>
      </c>
      <c r="D13" s="7" t="s">
        <v>16</v>
      </c>
      <c r="E13" s="18" t="s">
        <v>17</v>
      </c>
      <c r="F13" s="18" t="s">
        <v>17</v>
      </c>
      <c r="G13" s="18" t="s">
        <v>17</v>
      </c>
      <c r="H13" s="18" t="s">
        <v>17</v>
      </c>
      <c r="I13" s="18" t="s">
        <v>17</v>
      </c>
      <c r="J13" s="19" t="s">
        <v>17</v>
      </c>
      <c r="K13" s="18"/>
      <c r="L13" s="19" t="s">
        <v>17</v>
      </c>
      <c r="M13" s="18"/>
      <c r="N13" s="19"/>
      <c r="O13" s="18"/>
      <c r="P13" s="19"/>
      <c r="Q13" s="18"/>
      <c r="R13" s="19"/>
      <c r="S13" s="18"/>
      <c r="T13" s="19"/>
      <c r="U13" s="18"/>
      <c r="V13" s="19"/>
      <c r="W13" s="18"/>
      <c r="X13" s="19"/>
      <c r="Z13" s="13" t="n">
        <f aca="false">COUNTA(E13:X13)</f>
        <v>7</v>
      </c>
      <c r="AA13" s="14" t="n">
        <f aca="false">COUNTIF($E13:$X13,"P")/Z13</f>
        <v>1</v>
      </c>
      <c r="AB13" s="14" t="n">
        <f aca="false">COUNTIF($E13:$X13,"A")/Z13</f>
        <v>0</v>
      </c>
      <c r="AC13" s="14" t="n">
        <f aca="false">COUNTIF($E13:$X13,"E")/Z13</f>
        <v>0</v>
      </c>
      <c r="AD13" s="14" t="n">
        <f aca="false">IF(B13&lt;&gt;"OUI",COUNTIF($E13:$X13,"Disp")/Z13,1)</f>
        <v>0</v>
      </c>
      <c r="AE13" s="15" t="n">
        <f aca="false">AB13+AC13</f>
        <v>0</v>
      </c>
      <c r="AF13" s="15"/>
    </row>
    <row r="14" customFormat="false" ht="15.75" hidden="false" customHeight="false" outlineLevel="0" collapsed="false">
      <c r="A14" s="16"/>
      <c r="C14" s="17" t="s">
        <v>37</v>
      </c>
      <c r="D14" s="7" t="s">
        <v>16</v>
      </c>
      <c r="E14" s="18" t="s">
        <v>19</v>
      </c>
      <c r="F14" s="18" t="s">
        <v>17</v>
      </c>
      <c r="G14" s="18" t="s">
        <v>19</v>
      </c>
      <c r="H14" s="18" t="s">
        <v>19</v>
      </c>
      <c r="I14" s="18" t="s">
        <v>19</v>
      </c>
      <c r="J14" s="19" t="s">
        <v>17</v>
      </c>
      <c r="K14" s="18"/>
      <c r="L14" s="19" t="s">
        <v>17</v>
      </c>
      <c r="M14" s="18"/>
      <c r="N14" s="19"/>
      <c r="O14" s="18"/>
      <c r="P14" s="19"/>
      <c r="Q14" s="18"/>
      <c r="R14" s="19"/>
      <c r="S14" s="18"/>
      <c r="T14" s="19"/>
      <c r="U14" s="18"/>
      <c r="V14" s="19"/>
      <c r="W14" s="18"/>
      <c r="X14" s="19"/>
      <c r="Z14" s="13" t="n">
        <f aca="false">COUNTA(E14:X14)</f>
        <v>7</v>
      </c>
      <c r="AA14" s="14" t="n">
        <f aca="false">COUNTIF($E14:$X14,"P")/Z14</f>
        <v>0.428571428571429</v>
      </c>
      <c r="AB14" s="14" t="n">
        <f aca="false">COUNTIF($E14:$X14,"A")/Z14</f>
        <v>0</v>
      </c>
      <c r="AC14" s="14" t="n">
        <f aca="false">COUNTIF($E14:$X14,"E")/Z14</f>
        <v>0.571428571428571</v>
      </c>
      <c r="AD14" s="14" t="n">
        <f aca="false">IF(B14&lt;&gt;"OUI",COUNTIF($E14:$X14,"Disp")/Z14,1)</f>
        <v>0</v>
      </c>
      <c r="AE14" s="15" t="n">
        <f aca="false">AB14+AC14</f>
        <v>0.571428571428571</v>
      </c>
      <c r="AF14" s="15" t="n">
        <f aca="false">AE14</f>
        <v>0.571428571428571</v>
      </c>
    </row>
    <row r="15" customFormat="false" ht="15.75" hidden="false" customHeight="false" outlineLevel="0" collapsed="false">
      <c r="A15" s="16" t="s">
        <v>38</v>
      </c>
      <c r="C15" s="17" t="s">
        <v>39</v>
      </c>
      <c r="D15" s="7" t="s">
        <v>16</v>
      </c>
      <c r="E15" s="18" t="s">
        <v>17</v>
      </c>
      <c r="F15" s="18" t="s">
        <v>17</v>
      </c>
      <c r="G15" s="18" t="s">
        <v>17</v>
      </c>
      <c r="H15" s="18" t="s">
        <v>17</v>
      </c>
      <c r="I15" s="18" t="s">
        <v>17</v>
      </c>
      <c r="J15" s="19" t="s">
        <v>17</v>
      </c>
      <c r="K15" s="18"/>
      <c r="L15" s="19" t="s">
        <v>17</v>
      </c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Z15" s="13" t="n">
        <f aca="false">COUNTA(E15:X15)</f>
        <v>7</v>
      </c>
      <c r="AA15" s="14" t="n">
        <f aca="false">COUNTIF($E15:$X15,"P")/Z15</f>
        <v>1</v>
      </c>
      <c r="AB15" s="14" t="n">
        <f aca="false">COUNTIF($E15:$X15,"A")/Z15</f>
        <v>0</v>
      </c>
      <c r="AC15" s="14" t="n">
        <f aca="false">COUNTIF($E15:$X15,"E")/Z15</f>
        <v>0</v>
      </c>
      <c r="AD15" s="14" t="n">
        <f aca="false">IF(B15&lt;&gt;"OUI",COUNTIF($E15:$X15,"Disp")/Z15,1)</f>
        <v>0</v>
      </c>
      <c r="AE15" s="15" t="n">
        <f aca="false">AB15+AC15</f>
        <v>0</v>
      </c>
      <c r="AF15" s="15"/>
    </row>
    <row r="16" customFormat="false" ht="15.75" hidden="false" customHeight="false" outlineLevel="0" collapsed="false">
      <c r="A16" s="16"/>
      <c r="C16" s="17" t="s">
        <v>40</v>
      </c>
      <c r="D16" s="7" t="s">
        <v>16</v>
      </c>
      <c r="E16" s="18" t="s">
        <v>17</v>
      </c>
      <c r="F16" s="18" t="s">
        <v>17</v>
      </c>
      <c r="G16" s="18" t="s">
        <v>19</v>
      </c>
      <c r="H16" s="18" t="s">
        <v>19</v>
      </c>
      <c r="I16" s="18" t="s">
        <v>17</v>
      </c>
      <c r="J16" s="19" t="s">
        <v>19</v>
      </c>
      <c r="K16" s="18"/>
      <c r="L16" s="19" t="s">
        <v>17</v>
      </c>
      <c r="M16" s="18"/>
      <c r="N16" s="19"/>
      <c r="O16" s="18"/>
      <c r="P16" s="19"/>
      <c r="Q16" s="18"/>
      <c r="R16" s="19"/>
      <c r="S16" s="18"/>
      <c r="T16" s="19"/>
      <c r="U16" s="18"/>
      <c r="V16" s="19"/>
      <c r="W16" s="18"/>
      <c r="X16" s="19"/>
      <c r="Z16" s="13" t="n">
        <f aca="false">COUNTA(E16:X16)</f>
        <v>7</v>
      </c>
      <c r="AA16" s="14" t="n">
        <f aca="false">COUNTIF($E16:$X16,"P")/Z16</f>
        <v>0.571428571428571</v>
      </c>
      <c r="AB16" s="14" t="n">
        <f aca="false">COUNTIF($E16:$X16,"A")/Z16</f>
        <v>0</v>
      </c>
      <c r="AC16" s="14" t="n">
        <f aca="false">COUNTIF($E16:$X16,"E")/Z16</f>
        <v>0.428571428571429</v>
      </c>
      <c r="AD16" s="14" t="n">
        <f aca="false">IF(B16&lt;&gt;"OUI",COUNTIF($E16:$X16,"Disp")/Z16,1)</f>
        <v>0</v>
      </c>
      <c r="AE16" s="15" t="n">
        <f aca="false">AB16+AC16</f>
        <v>0.428571428571429</v>
      </c>
      <c r="AF16" s="15" t="n">
        <f aca="false">AE16</f>
        <v>0.428571428571429</v>
      </c>
    </row>
    <row r="17" customFormat="false" ht="15.75" hidden="false" customHeight="false" outlineLevel="0" collapsed="false">
      <c r="A17" s="16" t="s">
        <v>41</v>
      </c>
      <c r="C17" s="17" t="s">
        <v>42</v>
      </c>
      <c r="D17" s="7" t="s">
        <v>16</v>
      </c>
      <c r="E17" s="18" t="s">
        <v>17</v>
      </c>
      <c r="F17" s="18" t="s">
        <v>17</v>
      </c>
      <c r="G17" s="18" t="s">
        <v>17</v>
      </c>
      <c r="H17" s="18" t="s">
        <v>17</v>
      </c>
      <c r="I17" s="18" t="s">
        <v>17</v>
      </c>
      <c r="J17" s="19" t="s">
        <v>17</v>
      </c>
      <c r="K17" s="18"/>
      <c r="L17" s="19" t="s">
        <v>17</v>
      </c>
      <c r="M17" s="18"/>
      <c r="N17" s="19"/>
      <c r="O17" s="18"/>
      <c r="P17" s="19"/>
      <c r="Q17" s="18"/>
      <c r="R17" s="19"/>
      <c r="S17" s="18"/>
      <c r="T17" s="19"/>
      <c r="U17" s="18"/>
      <c r="V17" s="19"/>
      <c r="W17" s="18"/>
      <c r="X17" s="19"/>
      <c r="Z17" s="13" t="n">
        <f aca="false">COUNTA(E17:X17)</f>
        <v>7</v>
      </c>
      <c r="AA17" s="14" t="n">
        <f aca="false">COUNTIF($E17:$X17,"P")/Z17</f>
        <v>1</v>
      </c>
      <c r="AB17" s="14" t="n">
        <f aca="false">COUNTIF($E17:$X17,"A")/Z17</f>
        <v>0</v>
      </c>
      <c r="AC17" s="14" t="n">
        <f aca="false">COUNTIF($E17:$X17,"E")/Z17</f>
        <v>0</v>
      </c>
      <c r="AD17" s="14" t="n">
        <f aca="false">IF(B17&lt;&gt;"OUI",COUNTIF($E17:$X17,"Disp")/Z17,1)</f>
        <v>0</v>
      </c>
      <c r="AE17" s="15" t="n">
        <f aca="false">AB17+AC17</f>
        <v>0</v>
      </c>
      <c r="AF17" s="15" t="n">
        <f aca="false">AE17</f>
        <v>0</v>
      </c>
    </row>
    <row r="18" customFormat="false" ht="15.75" hidden="false" customHeight="false" outlineLevel="0" collapsed="false">
      <c r="A18" s="16"/>
      <c r="C18" s="17" t="s">
        <v>43</v>
      </c>
      <c r="D18" s="7" t="s">
        <v>16</v>
      </c>
      <c r="E18" s="18" t="s">
        <v>17</v>
      </c>
      <c r="F18" s="18" t="s">
        <v>17</v>
      </c>
      <c r="G18" s="18" t="s">
        <v>17</v>
      </c>
      <c r="H18" s="18" t="s">
        <v>17</v>
      </c>
      <c r="I18" s="18" t="s">
        <v>17</v>
      </c>
      <c r="J18" s="19" t="s">
        <v>17</v>
      </c>
      <c r="K18" s="18"/>
      <c r="L18" s="19" t="s">
        <v>17</v>
      </c>
      <c r="M18" s="18"/>
      <c r="N18" s="19"/>
      <c r="O18" s="18"/>
      <c r="P18" s="19"/>
      <c r="Q18" s="18"/>
      <c r="R18" s="19"/>
      <c r="S18" s="18"/>
      <c r="T18" s="19"/>
      <c r="U18" s="18"/>
      <c r="V18" s="19"/>
      <c r="W18" s="18"/>
      <c r="X18" s="19"/>
      <c r="Z18" s="13" t="n">
        <f aca="false">COUNTA(E18:X18)</f>
        <v>7</v>
      </c>
      <c r="AA18" s="14" t="n">
        <f aca="false">COUNTIF($E18:$X18,"P")/Z18</f>
        <v>1</v>
      </c>
      <c r="AB18" s="14" t="n">
        <f aca="false">COUNTIF($E18:$X18,"A")/Z18</f>
        <v>0</v>
      </c>
      <c r="AC18" s="14" t="n">
        <f aca="false">COUNTIF($E18:$X18,"E")/Z18</f>
        <v>0</v>
      </c>
      <c r="AD18" s="14" t="n">
        <f aca="false">IF(B18&lt;&gt;"OUI",COUNTIF($E18:$X18,"Disp")/Z18,1)</f>
        <v>0</v>
      </c>
      <c r="AE18" s="15" t="n">
        <f aca="false">AB18+AC18</f>
        <v>0</v>
      </c>
      <c r="AF18" s="15"/>
    </row>
    <row r="19" customFormat="false" ht="15.75" hidden="false" customHeight="false" outlineLevel="0" collapsed="false">
      <c r="A19" s="16" t="s">
        <v>44</v>
      </c>
      <c r="C19" s="17" t="s">
        <v>45</v>
      </c>
      <c r="D19" s="7" t="s">
        <v>16</v>
      </c>
      <c r="E19" s="18" t="s">
        <v>17</v>
      </c>
      <c r="F19" s="18" t="s">
        <v>17</v>
      </c>
      <c r="G19" s="18" t="s">
        <v>17</v>
      </c>
      <c r="H19" s="18" t="s">
        <v>17</v>
      </c>
      <c r="I19" s="18" t="s">
        <v>17</v>
      </c>
      <c r="J19" s="19" t="s">
        <v>17</v>
      </c>
      <c r="K19" s="18"/>
      <c r="L19" s="19" t="s">
        <v>17</v>
      </c>
      <c r="M19" s="18"/>
      <c r="N19" s="19"/>
      <c r="O19" s="18"/>
      <c r="P19" s="19"/>
      <c r="Q19" s="18"/>
      <c r="R19" s="19"/>
      <c r="S19" s="18"/>
      <c r="T19" s="19"/>
      <c r="U19" s="18"/>
      <c r="V19" s="19"/>
      <c r="W19" s="18"/>
      <c r="X19" s="19"/>
      <c r="Z19" s="13" t="n">
        <f aca="false">COUNTA(E19:X19)</f>
        <v>7</v>
      </c>
      <c r="AA19" s="14" t="n">
        <f aca="false">COUNTIF($E19:$X19,"P")/Z19</f>
        <v>1</v>
      </c>
      <c r="AB19" s="14" t="n">
        <f aca="false">COUNTIF($E19:$X19,"A")/Z19</f>
        <v>0</v>
      </c>
      <c r="AC19" s="14" t="n">
        <f aca="false">COUNTIF($E19:$X19,"E")/Z19</f>
        <v>0</v>
      </c>
      <c r="AD19" s="14" t="n">
        <f aca="false">IF(B19&lt;&gt;"OUI",COUNTIF($E19:$X19,"Disp")/Z19,1)</f>
        <v>0</v>
      </c>
      <c r="AE19" s="15" t="n">
        <f aca="false">AB19+AC19</f>
        <v>0</v>
      </c>
      <c r="AF19" s="15" t="n">
        <f aca="false">AE19</f>
        <v>0</v>
      </c>
    </row>
    <row r="20" customFormat="false" ht="15.75" hidden="false" customHeight="false" outlineLevel="0" collapsed="false">
      <c r="A20" s="16"/>
      <c r="C20" s="17" t="s">
        <v>46</v>
      </c>
      <c r="D20" s="7" t="s">
        <v>16</v>
      </c>
      <c r="E20" s="18" t="s">
        <v>17</v>
      </c>
      <c r="F20" s="18" t="s">
        <v>19</v>
      </c>
      <c r="G20" s="18" t="s">
        <v>19</v>
      </c>
      <c r="H20" s="18" t="s">
        <v>19</v>
      </c>
      <c r="I20" s="18" t="s">
        <v>17</v>
      </c>
      <c r="J20" s="19" t="s">
        <v>19</v>
      </c>
      <c r="K20" s="18"/>
      <c r="L20" s="19" t="s">
        <v>17</v>
      </c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Z20" s="13" t="n">
        <f aca="false">COUNTA(E20:X20)</f>
        <v>7</v>
      </c>
      <c r="AA20" s="14" t="n">
        <f aca="false">COUNTIF($E20:$X20,"P")/Z20</f>
        <v>0.428571428571429</v>
      </c>
      <c r="AB20" s="14" t="n">
        <f aca="false">COUNTIF($E20:$X20,"A")/Z20</f>
        <v>0</v>
      </c>
      <c r="AC20" s="14" t="n">
        <f aca="false">COUNTIF($E20:$X20,"E")/Z20</f>
        <v>0.571428571428571</v>
      </c>
      <c r="AD20" s="14" t="n">
        <f aca="false">IF(B20&lt;&gt;"OUI",COUNTIF($E20:$X20,"Disp")/Z20,1)</f>
        <v>0</v>
      </c>
      <c r="AE20" s="15" t="n">
        <f aca="false">AB20+AC20</f>
        <v>0.571428571428571</v>
      </c>
      <c r="AF20" s="15" t="n">
        <f aca="false">AE20</f>
        <v>0.571428571428571</v>
      </c>
    </row>
    <row r="21" customFormat="false" ht="15.75" hidden="false" customHeight="false" outlineLevel="0" collapsed="false">
      <c r="A21" s="16" t="s">
        <v>47</v>
      </c>
      <c r="C21" s="17" t="s">
        <v>48</v>
      </c>
      <c r="D21" s="7" t="s">
        <v>16</v>
      </c>
      <c r="E21" s="18" t="s">
        <v>17</v>
      </c>
      <c r="F21" s="18" t="s">
        <v>17</v>
      </c>
      <c r="G21" s="18" t="s">
        <v>17</v>
      </c>
      <c r="H21" s="18" t="s">
        <v>17</v>
      </c>
      <c r="I21" s="18" t="s">
        <v>19</v>
      </c>
      <c r="J21" s="19" t="s">
        <v>17</v>
      </c>
      <c r="K21" s="18"/>
      <c r="L21" s="19" t="s">
        <v>17</v>
      </c>
      <c r="M21" s="18"/>
      <c r="N21" s="19"/>
      <c r="O21" s="18"/>
      <c r="P21" s="19"/>
      <c r="Q21" s="18"/>
      <c r="R21" s="19"/>
      <c r="S21" s="18"/>
      <c r="T21" s="19"/>
      <c r="U21" s="18"/>
      <c r="V21" s="19"/>
      <c r="W21" s="18"/>
      <c r="X21" s="19"/>
      <c r="Z21" s="13" t="n">
        <f aca="false">COUNTA(E21:X21)</f>
        <v>7</v>
      </c>
      <c r="AA21" s="14" t="n">
        <f aca="false">COUNTIF($E21:$X21,"P")/Z21</f>
        <v>0.857142857142857</v>
      </c>
      <c r="AB21" s="14" t="n">
        <f aca="false">COUNTIF($E21:$X21,"A")/Z21</f>
        <v>0</v>
      </c>
      <c r="AC21" s="14" t="n">
        <f aca="false">COUNTIF($E21:$X21,"E")/Z21</f>
        <v>0.142857142857143</v>
      </c>
      <c r="AD21" s="14" t="n">
        <f aca="false">IF(B21&lt;&gt;"OUI",COUNTIF($E21:$X21,"Disp")/Z21,1)</f>
        <v>0</v>
      </c>
      <c r="AE21" s="15" t="n">
        <f aca="false">AB21+AC21</f>
        <v>0.142857142857143</v>
      </c>
      <c r="AF21" s="15"/>
    </row>
    <row r="22" customFormat="false" ht="15.75" hidden="false" customHeight="false" outlineLevel="0" collapsed="false">
      <c r="A22" s="16"/>
      <c r="C22" s="17" t="s">
        <v>49</v>
      </c>
      <c r="D22" s="7" t="s">
        <v>14</v>
      </c>
      <c r="E22" s="27"/>
      <c r="F22" s="27"/>
      <c r="G22" s="27"/>
      <c r="H22" s="27"/>
      <c r="I22" s="27"/>
      <c r="J22" s="28"/>
      <c r="K22" s="27"/>
      <c r="L22" s="28"/>
      <c r="M22" s="27"/>
      <c r="N22" s="28"/>
      <c r="O22" s="27"/>
      <c r="P22" s="28"/>
      <c r="Q22" s="27"/>
      <c r="R22" s="28"/>
      <c r="S22" s="18" t="s">
        <v>17</v>
      </c>
      <c r="T22" s="19"/>
      <c r="U22" s="18"/>
      <c r="V22" s="19"/>
      <c r="W22" s="18"/>
      <c r="X22" s="19"/>
      <c r="Z22" s="13"/>
      <c r="AA22" s="14"/>
      <c r="AB22" s="14"/>
      <c r="AC22" s="14"/>
      <c r="AD22" s="14"/>
      <c r="AE22" s="15"/>
      <c r="AF22" s="15"/>
    </row>
    <row r="23" customFormat="false" ht="15" hidden="false" customHeight="false" outlineLevel="0" collapsed="false">
      <c r="A23" s="16"/>
      <c r="C23" s="17" t="s">
        <v>50</v>
      </c>
      <c r="D23" s="7" t="s">
        <v>16</v>
      </c>
      <c r="E23" s="18" t="s">
        <v>25</v>
      </c>
      <c r="F23" s="18" t="s">
        <v>17</v>
      </c>
      <c r="G23" s="18" t="s">
        <v>25</v>
      </c>
      <c r="H23" s="18" t="s">
        <v>19</v>
      </c>
      <c r="I23" s="20" t="s">
        <v>25</v>
      </c>
      <c r="J23" s="19" t="s">
        <v>17</v>
      </c>
      <c r="K23" s="20" t="s">
        <v>25</v>
      </c>
      <c r="L23" s="19" t="s">
        <v>17</v>
      </c>
      <c r="M23" s="20"/>
      <c r="N23" s="19"/>
      <c r="O23" s="20"/>
      <c r="P23" s="19"/>
      <c r="Q23" s="20"/>
      <c r="R23" s="19"/>
      <c r="S23" s="20"/>
      <c r="T23" s="19"/>
      <c r="U23" s="20"/>
      <c r="V23" s="19"/>
      <c r="W23" s="18"/>
      <c r="X23" s="19"/>
      <c r="Z23" s="13" t="n">
        <f aca="false">COUNTA(E23:X23)</f>
        <v>8</v>
      </c>
      <c r="AA23" s="14" t="n">
        <f aca="false">COUNTIF($E23:$X23,"P")/Z23</f>
        <v>0.375</v>
      </c>
      <c r="AB23" s="14" t="n">
        <f aca="false">COUNTIF($E23:$X23,"A")/Z23</f>
        <v>0</v>
      </c>
      <c r="AC23" s="14" t="n">
        <f aca="false">COUNTIF($E23:$X23,"E")/Z23</f>
        <v>0.125</v>
      </c>
      <c r="AD23" s="14" t="n">
        <f aca="false">IF(B23&lt;&gt;"OUI",COUNTIF($E23:$X23,"Disp")/Z23,1)</f>
        <v>0.5</v>
      </c>
      <c r="AE23" s="15" t="n">
        <f aca="false">AB23+AC23</f>
        <v>0.125</v>
      </c>
      <c r="AF23" s="15" t="n">
        <f aca="false">AE23</f>
        <v>0.125</v>
      </c>
    </row>
    <row r="24" customFormat="false" ht="15" hidden="false" customHeight="false" outlineLevel="0" collapsed="false">
      <c r="A24" s="16"/>
      <c r="C24" s="17" t="s">
        <v>51</v>
      </c>
      <c r="D24" s="7" t="s">
        <v>14</v>
      </c>
      <c r="E24" s="27"/>
      <c r="F24" s="27"/>
      <c r="G24" s="27"/>
      <c r="H24" s="27"/>
      <c r="I24" s="27"/>
      <c r="J24" s="28"/>
      <c r="K24" s="27"/>
      <c r="L24" s="19" t="s">
        <v>17</v>
      </c>
      <c r="M24" s="18"/>
      <c r="N24" s="19"/>
      <c r="O24" s="18"/>
      <c r="P24" s="19"/>
      <c r="Q24" s="18"/>
      <c r="R24" s="19"/>
      <c r="S24" s="18"/>
      <c r="T24" s="19"/>
      <c r="U24" s="18"/>
      <c r="V24" s="19"/>
      <c r="W24" s="18"/>
      <c r="X24" s="19"/>
      <c r="Z24" s="13" t="n">
        <f aca="false">COUNTA(E24:X24)</f>
        <v>1</v>
      </c>
      <c r="AA24" s="14" t="n">
        <f aca="false">COUNTIF($E24:$X24,"P")/Z24</f>
        <v>1</v>
      </c>
      <c r="AB24" s="14" t="n">
        <f aca="false">COUNTIF($E24:$X24,"A")/Z24</f>
        <v>0</v>
      </c>
      <c r="AC24" s="14" t="n">
        <f aca="false">COUNTIF($E24:$X24,"E")/Z24</f>
        <v>0</v>
      </c>
      <c r="AD24" s="14" t="n">
        <f aca="false">IF(B24&lt;&gt;"OUI",COUNTIF($E24:$X24,"Disp")/Z24,1)</f>
        <v>0</v>
      </c>
      <c r="AE24" s="15" t="n">
        <f aca="false">AB24+AC24</f>
        <v>0</v>
      </c>
      <c r="AF24" s="15" t="n">
        <f aca="false">AE24</f>
        <v>0</v>
      </c>
    </row>
    <row r="25" customFormat="false" ht="15.75" hidden="false" customHeight="false" outlineLevel="0" collapsed="false">
      <c r="A25" s="16"/>
      <c r="C25" s="17" t="s">
        <v>52</v>
      </c>
      <c r="D25" s="7" t="s">
        <v>14</v>
      </c>
      <c r="E25" s="27"/>
      <c r="F25" s="27"/>
      <c r="G25" s="27"/>
      <c r="H25" s="27"/>
      <c r="I25" s="27"/>
      <c r="J25" s="28"/>
      <c r="K25" s="27"/>
      <c r="L25" s="28"/>
      <c r="M25" s="27"/>
      <c r="N25" s="28"/>
      <c r="O25" s="27"/>
      <c r="P25" s="28"/>
      <c r="Q25" s="27"/>
      <c r="R25" s="28"/>
      <c r="S25" s="18" t="s">
        <v>17</v>
      </c>
      <c r="T25" s="19"/>
      <c r="U25" s="18"/>
      <c r="V25" s="19"/>
      <c r="W25" s="18"/>
      <c r="X25" s="19"/>
      <c r="Z25" s="13"/>
      <c r="AA25" s="14"/>
      <c r="AB25" s="14"/>
      <c r="AC25" s="14"/>
      <c r="AD25" s="14"/>
      <c r="AE25" s="15"/>
      <c r="AF25" s="15"/>
    </row>
    <row r="26" customFormat="false" ht="15.75" hidden="false" customHeight="false" outlineLevel="0" collapsed="false">
      <c r="A26" s="16" t="s">
        <v>53</v>
      </c>
      <c r="B26" s="1" t="s">
        <v>54</v>
      </c>
      <c r="C26" s="29" t="s">
        <v>55</v>
      </c>
      <c r="D26" s="7" t="s">
        <v>16</v>
      </c>
      <c r="E26" s="18" t="s">
        <v>19</v>
      </c>
      <c r="F26" s="18" t="s">
        <v>17</v>
      </c>
      <c r="G26" s="18" t="s">
        <v>17</v>
      </c>
      <c r="H26" s="18" t="s">
        <v>19</v>
      </c>
      <c r="I26" s="18" t="s">
        <v>17</v>
      </c>
      <c r="J26" s="19" t="s">
        <v>17</v>
      </c>
      <c r="K26" s="18"/>
      <c r="L26" s="19" t="s">
        <v>17</v>
      </c>
      <c r="M26" s="18"/>
      <c r="N26" s="19"/>
      <c r="O26" s="18"/>
      <c r="P26" s="19"/>
      <c r="Q26" s="18"/>
      <c r="R26" s="19"/>
      <c r="S26" s="18"/>
      <c r="T26" s="19"/>
      <c r="U26" s="18"/>
      <c r="V26" s="19"/>
      <c r="W26" s="18"/>
      <c r="X26" s="19"/>
      <c r="Z26" s="13" t="n">
        <f aca="false">COUNTA(E26:X26)</f>
        <v>7</v>
      </c>
      <c r="AA26" s="14" t="n">
        <f aca="false">COUNTIF($E26:$X26,"P")/Z26</f>
        <v>0.714285714285714</v>
      </c>
      <c r="AB26" s="14" t="n">
        <f aca="false">COUNTIF($E26:$X26,"A")/Z26</f>
        <v>0</v>
      </c>
      <c r="AC26" s="14" t="n">
        <f aca="false">COUNTIF($E26:$X26,"E")/Z26</f>
        <v>0.285714285714286</v>
      </c>
      <c r="AD26" s="14" t="n">
        <f aca="false">IF(B26&lt;&gt;"OUI",COUNTIF($E26:$X26,"Disp")/Z26,1)</f>
        <v>1</v>
      </c>
      <c r="AE26" s="15" t="n">
        <f aca="false">AB26+AC26</f>
        <v>0.285714285714286</v>
      </c>
      <c r="AF26" s="15"/>
    </row>
    <row r="27" customFormat="false" ht="15" hidden="false" customHeight="false" outlineLevel="0" collapsed="false">
      <c r="A27" s="16"/>
      <c r="C27" s="29" t="s">
        <v>56</v>
      </c>
      <c r="D27" s="7" t="s">
        <v>14</v>
      </c>
      <c r="E27" s="27"/>
      <c r="F27" s="27"/>
      <c r="G27" s="27"/>
      <c r="H27" s="27"/>
      <c r="I27" s="27"/>
      <c r="J27" s="28"/>
      <c r="K27" s="27"/>
      <c r="L27" s="19" t="s">
        <v>17</v>
      </c>
      <c r="M27" s="18"/>
      <c r="N27" s="19"/>
      <c r="O27" s="18"/>
      <c r="P27" s="19"/>
      <c r="Q27" s="18"/>
      <c r="R27" s="19"/>
      <c r="S27" s="18"/>
      <c r="T27" s="19"/>
      <c r="U27" s="18"/>
      <c r="V27" s="19"/>
      <c r="W27" s="18"/>
      <c r="X27" s="19"/>
      <c r="Z27" s="13" t="n">
        <f aca="false">COUNTA(E27:X27)</f>
        <v>1</v>
      </c>
      <c r="AA27" s="14" t="n">
        <f aca="false">COUNTIF($E27:$X27,"P")/Z27</f>
        <v>1</v>
      </c>
      <c r="AB27" s="14" t="n">
        <f aca="false">COUNTIF($E27:$X27,"A")/Z27</f>
        <v>0</v>
      </c>
      <c r="AC27" s="14" t="n">
        <f aca="false">COUNTIF($E27:$X27,"E")/Z27</f>
        <v>0</v>
      </c>
      <c r="AD27" s="14" t="n">
        <f aca="false">IF(B27&lt;&gt;"OUI",COUNTIF($E27:$X27,"Disp")/Z27,1)</f>
        <v>0</v>
      </c>
      <c r="AE27" s="15" t="n">
        <f aca="false">AB27+AC27</f>
        <v>0</v>
      </c>
      <c r="AF27" s="15" t="n">
        <f aca="false">AE27</f>
        <v>0</v>
      </c>
    </row>
    <row r="28" customFormat="false" ht="15.75" hidden="false" customHeight="false" outlineLevel="0" collapsed="false">
      <c r="A28" s="16"/>
      <c r="C28" s="17" t="s">
        <v>57</v>
      </c>
      <c r="D28" s="7" t="s">
        <v>16</v>
      </c>
      <c r="E28" s="18" t="s">
        <v>17</v>
      </c>
      <c r="F28" s="18" t="s">
        <v>17</v>
      </c>
      <c r="G28" s="18" t="s">
        <v>19</v>
      </c>
      <c r="H28" s="18" t="s">
        <v>17</v>
      </c>
      <c r="I28" s="18" t="s">
        <v>19</v>
      </c>
      <c r="J28" s="19" t="s">
        <v>19</v>
      </c>
      <c r="K28" s="18"/>
      <c r="L28" s="19" t="s">
        <v>17</v>
      </c>
      <c r="M28" s="18"/>
      <c r="N28" s="19"/>
      <c r="O28" s="18"/>
      <c r="P28" s="19"/>
      <c r="Q28" s="18"/>
      <c r="R28" s="19"/>
      <c r="S28" s="18"/>
      <c r="T28" s="19"/>
      <c r="U28" s="18"/>
      <c r="V28" s="19"/>
      <c r="W28" s="18"/>
      <c r="X28" s="19"/>
      <c r="Z28" s="13" t="n">
        <f aca="false">COUNTA(E28:X28)</f>
        <v>7</v>
      </c>
      <c r="AA28" s="14" t="n">
        <f aca="false">COUNTIF($E28:$X28,"P")/Z28</f>
        <v>0.571428571428571</v>
      </c>
      <c r="AB28" s="14" t="n">
        <f aca="false">COUNTIF($E28:$X28,"A")/Z28</f>
        <v>0</v>
      </c>
      <c r="AC28" s="14" t="n">
        <f aca="false">COUNTIF($E28:$X28,"E")/Z28</f>
        <v>0.428571428571429</v>
      </c>
      <c r="AD28" s="14" t="n">
        <f aca="false">IF(B28&lt;&gt;"OUI",COUNTIF($E28:$X28,"Disp")/Z28,1)</f>
        <v>0</v>
      </c>
      <c r="AE28" s="15" t="n">
        <f aca="false">AB28+AC28</f>
        <v>0.428571428571429</v>
      </c>
      <c r="AF28" s="15"/>
    </row>
    <row r="29" customFormat="false" ht="15.75" hidden="false" customHeight="false" outlineLevel="0" collapsed="false">
      <c r="A29" s="16" t="s">
        <v>29</v>
      </c>
      <c r="C29" s="21" t="s">
        <v>58</v>
      </c>
      <c r="D29" s="22" t="s">
        <v>16</v>
      </c>
      <c r="E29" s="23" t="s">
        <v>19</v>
      </c>
      <c r="F29" s="23" t="s">
        <v>19</v>
      </c>
      <c r="G29" s="23" t="s">
        <v>19</v>
      </c>
      <c r="H29" s="23" t="s">
        <v>19</v>
      </c>
      <c r="I29" s="23" t="s">
        <v>19</v>
      </c>
      <c r="J29" s="24" t="s">
        <v>19</v>
      </c>
      <c r="K29" s="23" t="s">
        <v>19</v>
      </c>
      <c r="L29" s="24" t="s">
        <v>19</v>
      </c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Z29" s="13" t="n">
        <f aca="false">COUNTA(E29:X29)</f>
        <v>8</v>
      </c>
      <c r="AA29" s="14" t="n">
        <f aca="false">COUNTIF($E29:$X29,"P")/Z29</f>
        <v>0</v>
      </c>
      <c r="AB29" s="14" t="n">
        <f aca="false">COUNTIF($E29:$X29,"A")/Z29</f>
        <v>0</v>
      </c>
      <c r="AC29" s="14" t="n">
        <f aca="false">COUNTIF($E29:$X29,"E")/Z29</f>
        <v>1</v>
      </c>
      <c r="AD29" s="14" t="n">
        <f aca="false">IF(B29&lt;&gt;"OUI",COUNTIF($E29:$X29,"Disp")/Z29,1)</f>
        <v>0</v>
      </c>
      <c r="AE29" s="15" t="n">
        <f aca="false">AB29+AC29</f>
        <v>1</v>
      </c>
      <c r="AF29" s="15"/>
    </row>
    <row r="30" customFormat="false" ht="15.75" hidden="false" customHeight="false" outlineLevel="0" collapsed="false">
      <c r="A30" s="16" t="s">
        <v>59</v>
      </c>
      <c r="C30" s="17" t="s">
        <v>60</v>
      </c>
      <c r="D30" s="7" t="s">
        <v>16</v>
      </c>
      <c r="E30" s="18" t="s">
        <v>17</v>
      </c>
      <c r="F30" s="18" t="s">
        <v>17</v>
      </c>
      <c r="G30" s="18" t="s">
        <v>17</v>
      </c>
      <c r="H30" s="18" t="s">
        <v>19</v>
      </c>
      <c r="I30" s="18" t="s">
        <v>17</v>
      </c>
      <c r="J30" s="19" t="s">
        <v>17</v>
      </c>
      <c r="K30" s="18" t="s">
        <v>17</v>
      </c>
      <c r="L30" s="19" t="s">
        <v>17</v>
      </c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Z30" s="13" t="n">
        <f aca="false">COUNTA(E30:X30)</f>
        <v>8</v>
      </c>
      <c r="AA30" s="14" t="n">
        <f aca="false">COUNTIF($E30:$X30,"P")/Z30</f>
        <v>0.875</v>
      </c>
      <c r="AB30" s="14" t="n">
        <f aca="false">COUNTIF($E30:$X30,"A")/Z30</f>
        <v>0</v>
      </c>
      <c r="AC30" s="14" t="n">
        <f aca="false">COUNTIF($E30:$X30,"E")/Z30</f>
        <v>0.125</v>
      </c>
      <c r="AD30" s="14" t="n">
        <f aca="false">IF(B30&lt;&gt;"OUI",COUNTIF($E30:$X30,"Disp")/Z30,1)</f>
        <v>0</v>
      </c>
      <c r="AE30" s="15" t="n">
        <f aca="false">AB30+AC30</f>
        <v>0.125</v>
      </c>
      <c r="AF30" s="15" t="n">
        <f aca="false">AE30</f>
        <v>0.125</v>
      </c>
    </row>
    <row r="31" customFormat="false" ht="15" hidden="false" customHeight="false" outlineLevel="0" collapsed="false">
      <c r="A31" s="16"/>
      <c r="C31" s="17" t="s">
        <v>61</v>
      </c>
      <c r="D31" s="7" t="s">
        <v>14</v>
      </c>
      <c r="E31" s="27"/>
      <c r="F31" s="27"/>
      <c r="G31" s="27"/>
      <c r="H31" s="27"/>
      <c r="I31" s="27"/>
      <c r="J31" s="28"/>
      <c r="K31" s="27"/>
      <c r="L31" s="19" t="s">
        <v>17</v>
      </c>
      <c r="M31" s="18"/>
      <c r="N31" s="19"/>
      <c r="O31" s="18"/>
      <c r="P31" s="19"/>
      <c r="Q31" s="18"/>
      <c r="R31" s="19"/>
      <c r="S31" s="18"/>
      <c r="T31" s="19"/>
      <c r="U31" s="18"/>
      <c r="V31" s="19"/>
      <c r="W31" s="18"/>
      <c r="X31" s="19"/>
      <c r="Z31" s="13" t="n">
        <f aca="false">COUNTA(E31:X31)</f>
        <v>1</v>
      </c>
      <c r="AA31" s="14" t="n">
        <f aca="false">COUNTIF($E31:$X31,"P")/Z31</f>
        <v>1</v>
      </c>
      <c r="AB31" s="14" t="n">
        <f aca="false">COUNTIF($E31:$X31,"A")/Z31</f>
        <v>0</v>
      </c>
      <c r="AC31" s="14" t="n">
        <f aca="false">COUNTIF($E31:$X31,"E")/Z31</f>
        <v>0</v>
      </c>
      <c r="AD31" s="14" t="n">
        <f aca="false">IF(B31&lt;&gt;"OUI",COUNTIF($E31:$X31,"Disp")/Z31,1)</f>
        <v>0</v>
      </c>
      <c r="AE31" s="15" t="n">
        <f aca="false">AB31+AC31</f>
        <v>0</v>
      </c>
      <c r="AF31" s="15" t="n">
        <f aca="false">AE31</f>
        <v>0</v>
      </c>
    </row>
    <row r="32" customFormat="false" ht="15.75" hidden="false" customHeight="false" outlineLevel="0" collapsed="false">
      <c r="A32" s="16" t="s">
        <v>62</v>
      </c>
      <c r="C32" s="17" t="s">
        <v>63</v>
      </c>
      <c r="D32" s="7" t="s">
        <v>16</v>
      </c>
      <c r="E32" s="18" t="s">
        <v>17</v>
      </c>
      <c r="F32" s="18" t="s">
        <v>19</v>
      </c>
      <c r="G32" s="18" t="s">
        <v>19</v>
      </c>
      <c r="H32" s="18" t="s">
        <v>19</v>
      </c>
      <c r="I32" s="18" t="s">
        <v>19</v>
      </c>
      <c r="J32" s="19" t="s">
        <v>19</v>
      </c>
      <c r="K32" s="18" t="s">
        <v>17</v>
      </c>
      <c r="L32" s="19" t="s">
        <v>17</v>
      </c>
      <c r="M32" s="18"/>
      <c r="N32" s="19"/>
      <c r="O32" s="18"/>
      <c r="P32" s="19"/>
      <c r="Q32" s="18"/>
      <c r="R32" s="19"/>
      <c r="S32" s="18"/>
      <c r="T32" s="19"/>
      <c r="U32" s="18"/>
      <c r="V32" s="19"/>
      <c r="W32" s="18"/>
      <c r="X32" s="19"/>
      <c r="Z32" s="13" t="n">
        <f aca="false">COUNTA(E32:X32)</f>
        <v>8</v>
      </c>
      <c r="AA32" s="14" t="n">
        <f aca="false">COUNTIF($E32:$X32,"P")/Z32</f>
        <v>0.375</v>
      </c>
      <c r="AB32" s="14" t="n">
        <f aca="false">COUNTIF($E32:$X32,"A")/Z32</f>
        <v>0</v>
      </c>
      <c r="AC32" s="14" t="n">
        <f aca="false">COUNTIF($E32:$X32,"E")/Z32</f>
        <v>0.625</v>
      </c>
      <c r="AD32" s="14" t="n">
        <f aca="false">IF(B32&lt;&gt;"OUI",COUNTIF($E32:$X32,"Disp")/Z32,1)</f>
        <v>0</v>
      </c>
      <c r="AE32" s="15" t="n">
        <f aca="false">AB32+AC32</f>
        <v>0.625</v>
      </c>
      <c r="AF32" s="15" t="n">
        <f aca="false">AE32</f>
        <v>0.625</v>
      </c>
    </row>
    <row r="33" customFormat="false" ht="15.75" hidden="false" customHeight="false" outlineLevel="0" collapsed="false">
      <c r="D33" s="7"/>
    </row>
    <row r="34" customFormat="false" ht="15.75" hidden="false" customHeight="false" outlineLevel="0" collapsed="false">
      <c r="C34" s="30" t="s">
        <v>64</v>
      </c>
      <c r="D34" s="7"/>
      <c r="E34" s="31" t="n">
        <f aca="false">SUM(E35:E38)</f>
        <v>24</v>
      </c>
      <c r="F34" s="32" t="n">
        <f aca="false">SUM(F35:F38)</f>
        <v>24</v>
      </c>
      <c r="G34" s="32" t="n">
        <f aca="false">SUM(G35:G38)</f>
        <v>24</v>
      </c>
      <c r="H34" s="32" t="n">
        <f aca="false">SUM(H35:H38)</f>
        <v>24</v>
      </c>
      <c r="I34" s="32" t="n">
        <f aca="false">SUM(I35:I38)</f>
        <v>24</v>
      </c>
      <c r="J34" s="32" t="n">
        <f aca="false">SUM(J35:J38)</f>
        <v>24</v>
      </c>
      <c r="K34" s="32" t="n">
        <f aca="false">SUM(K35:K38)</f>
        <v>6</v>
      </c>
      <c r="L34" s="32" t="n">
        <f aca="false">SUM(L35:L38)</f>
        <v>27</v>
      </c>
      <c r="M34" s="32" t="n">
        <f aca="false">SUM(M35:M38)</f>
        <v>0</v>
      </c>
      <c r="N34" s="32" t="n">
        <f aca="false">SUM(N35:N38)</f>
        <v>0</v>
      </c>
      <c r="O34" s="32" t="n">
        <f aca="false">SUM(O35:O38)</f>
        <v>0</v>
      </c>
      <c r="P34" s="32" t="n">
        <f aca="false">SUM(P35:P38)</f>
        <v>0</v>
      </c>
      <c r="Q34" s="32" t="n">
        <f aca="false">SUM(Q35:Q38)</f>
        <v>0</v>
      </c>
      <c r="R34" s="32" t="n">
        <f aca="false">SUM(R35:R38)</f>
        <v>0</v>
      </c>
      <c r="S34" s="32" t="n">
        <f aca="false">SUM(S35:S38)</f>
        <v>2</v>
      </c>
      <c r="T34" s="32" t="n">
        <f aca="false">SUM(T35:T38)</f>
        <v>0</v>
      </c>
      <c r="U34" s="32" t="n">
        <f aca="false">SUM(U35:U38)</f>
        <v>0</v>
      </c>
      <c r="V34" s="32" t="n">
        <f aca="false">SUM(V35:V38)</f>
        <v>0</v>
      </c>
      <c r="W34" s="32" t="n">
        <f aca="false">SUM(W35:W38)</f>
        <v>0</v>
      </c>
      <c r="X34" s="32" t="n">
        <f aca="false">SUM(X35:X38)</f>
        <v>0</v>
      </c>
    </row>
    <row r="35" customFormat="false" ht="15.75" hidden="false" customHeight="false" outlineLevel="0" collapsed="false">
      <c r="C35" s="30" t="s">
        <v>65</v>
      </c>
      <c r="E35" s="33" t="n">
        <f aca="false">COUNTIF(E4:E32,"P")</f>
        <v>15</v>
      </c>
      <c r="F35" s="34" t="n">
        <f aca="false">COUNTIF(F4:F32,"P")</f>
        <v>17</v>
      </c>
      <c r="G35" s="34" t="n">
        <f aca="false">COUNTIF(G4:G32,"P")</f>
        <v>11</v>
      </c>
      <c r="H35" s="34" t="n">
        <f aca="false">COUNTIF(H4:H32,"P")</f>
        <v>12</v>
      </c>
      <c r="I35" s="34" t="n">
        <f aca="false">COUNTIF(I4:I32,"P")</f>
        <v>12</v>
      </c>
      <c r="J35" s="34" t="n">
        <f aca="false">COUNTIF(J4:J32,"P")</f>
        <v>15</v>
      </c>
      <c r="K35" s="34" t="n">
        <f aca="false">COUNTIF(K4:K32,"P")</f>
        <v>2</v>
      </c>
      <c r="L35" s="34" t="n">
        <f aca="false">COUNTIF(L4:L32,"P")</f>
        <v>23</v>
      </c>
      <c r="M35" s="34" t="n">
        <f aca="false">COUNTIF(M4:M32,"P")</f>
        <v>0</v>
      </c>
      <c r="N35" s="34" t="n">
        <f aca="false">COUNTIF(N4:N32,"P")</f>
        <v>0</v>
      </c>
      <c r="O35" s="34" t="n">
        <f aca="false">COUNTIF(O4:O32,"P")</f>
        <v>0</v>
      </c>
      <c r="P35" s="34" t="n">
        <f aca="false">COUNTIF(P4:P32,"P")</f>
        <v>0</v>
      </c>
      <c r="Q35" s="34" t="n">
        <f aca="false">COUNTIF(Q4:Q32,"P")</f>
        <v>0</v>
      </c>
      <c r="R35" s="34" t="n">
        <f aca="false">COUNTIF(R4:R32,"P")</f>
        <v>0</v>
      </c>
      <c r="S35" s="34" t="n">
        <f aca="false">COUNTIF(S4:S32,"P")</f>
        <v>2</v>
      </c>
      <c r="T35" s="34" t="n">
        <f aca="false">COUNTIF(T4:T32,"P")</f>
        <v>0</v>
      </c>
      <c r="U35" s="34" t="n">
        <f aca="false">COUNTIF(U4:U32,"P")</f>
        <v>0</v>
      </c>
      <c r="V35" s="34" t="n">
        <f aca="false">COUNTIF(V4:V32,"P")</f>
        <v>0</v>
      </c>
      <c r="W35" s="34" t="n">
        <f aca="false">COUNTIF(W4:W32,"P")</f>
        <v>0</v>
      </c>
      <c r="X35" s="34" t="n">
        <f aca="false">COUNTIF(X4:X32,"P")</f>
        <v>0</v>
      </c>
    </row>
    <row r="36" customFormat="false" ht="15.75" hidden="false" customHeight="false" outlineLevel="0" collapsed="false">
      <c r="C36" s="30" t="s">
        <v>66</v>
      </c>
      <c r="E36" s="31" t="n">
        <f aca="false">COUNTIF(E4:E32,"A")</f>
        <v>1</v>
      </c>
      <c r="F36" s="32" t="n">
        <f aca="false">COUNTIF(F4:F32,"A")</f>
        <v>1</v>
      </c>
      <c r="G36" s="32" t="n">
        <f aca="false">COUNTIF(G4:G32,"A")</f>
        <v>2</v>
      </c>
      <c r="H36" s="32" t="n">
        <f aca="false">COUNTIF(H4:H32,"A")</f>
        <v>1</v>
      </c>
      <c r="I36" s="32" t="n">
        <f aca="false">COUNTIF(I4:I32,"A")</f>
        <v>1</v>
      </c>
      <c r="J36" s="32" t="n">
        <f aca="false">COUNTIF(J4:J32,"A")</f>
        <v>2</v>
      </c>
      <c r="K36" s="32" t="n">
        <f aca="false">COUNTIF(K4:K32,"A")</f>
        <v>0</v>
      </c>
      <c r="L36" s="32" t="n">
        <f aca="false">COUNTIF(L4:L32,"A")</f>
        <v>0</v>
      </c>
      <c r="M36" s="32" t="n">
        <f aca="false">COUNTIF(M4:M32,"A")</f>
        <v>0</v>
      </c>
      <c r="N36" s="32" t="n">
        <f aca="false">COUNTIF(N4:N32,"A")</f>
        <v>0</v>
      </c>
      <c r="O36" s="32" t="n">
        <f aca="false">COUNTIF(O4:O32,"A")</f>
        <v>0</v>
      </c>
      <c r="P36" s="32" t="n">
        <f aca="false">COUNTIF(P4:P32,"A")</f>
        <v>0</v>
      </c>
      <c r="Q36" s="32" t="n">
        <f aca="false">COUNTIF(Q4:Q32,"A")</f>
        <v>0</v>
      </c>
      <c r="R36" s="32" t="n">
        <f aca="false">COUNTIF(R4:R32,"A")</f>
        <v>0</v>
      </c>
      <c r="S36" s="32" t="n">
        <f aca="false">COUNTIF(S4:S32,"A")</f>
        <v>0</v>
      </c>
      <c r="T36" s="32" t="n">
        <f aca="false">COUNTIF(T4:T32,"A")</f>
        <v>0</v>
      </c>
      <c r="U36" s="32" t="n">
        <f aca="false">COUNTIF(U4:U32,"A")</f>
        <v>0</v>
      </c>
      <c r="V36" s="32" t="n">
        <f aca="false">COUNTIF(V4:V32,"A")</f>
        <v>0</v>
      </c>
      <c r="W36" s="32" t="n">
        <f aca="false">COUNTIF(W4:W32,"A")</f>
        <v>0</v>
      </c>
      <c r="X36" s="32" t="n">
        <f aca="false">COUNTIF(X4:X32,"A")</f>
        <v>0</v>
      </c>
    </row>
    <row r="37" customFormat="false" ht="15.75" hidden="false" customHeight="false" outlineLevel="0" collapsed="false">
      <c r="C37" s="30" t="s">
        <v>67</v>
      </c>
      <c r="E37" s="31" t="n">
        <f aca="false">COUNTIF(E4:E32,"E")</f>
        <v>6</v>
      </c>
      <c r="F37" s="32" t="n">
        <f aca="false">COUNTIF(F4:F32,"E")</f>
        <v>6</v>
      </c>
      <c r="G37" s="32" t="n">
        <f aca="false">COUNTIF(G4:G32,"E")</f>
        <v>9</v>
      </c>
      <c r="H37" s="32" t="n">
        <f aca="false">COUNTIF(H4:H32,"E")</f>
        <v>11</v>
      </c>
      <c r="I37" s="32" t="n">
        <f aca="false">COUNTIF(I4:I32,"E")</f>
        <v>9</v>
      </c>
      <c r="J37" s="32" t="n">
        <f aca="false">COUNTIF(J4:J32,"E")</f>
        <v>7</v>
      </c>
      <c r="K37" s="32" t="n">
        <f aca="false">COUNTIF(K4:K32,"E")</f>
        <v>2</v>
      </c>
      <c r="L37" s="32" t="n">
        <f aca="false">COUNTIF(L4:L32,"E")</f>
        <v>4</v>
      </c>
      <c r="M37" s="32" t="n">
        <f aca="false">COUNTIF(M4:M32,"E")</f>
        <v>0</v>
      </c>
      <c r="N37" s="32" t="n">
        <f aca="false">COUNTIF(N4:N32,"E")</f>
        <v>0</v>
      </c>
      <c r="O37" s="32" t="n">
        <f aca="false">COUNTIF(O4:O32,"E")</f>
        <v>0</v>
      </c>
      <c r="P37" s="32" t="n">
        <f aca="false">COUNTIF(P4:P32,"E")</f>
        <v>0</v>
      </c>
      <c r="Q37" s="32" t="n">
        <f aca="false">COUNTIF(Q4:Q32,"E")</f>
        <v>0</v>
      </c>
      <c r="R37" s="32" t="n">
        <f aca="false">COUNTIF(R4:R32,"E")</f>
        <v>0</v>
      </c>
      <c r="S37" s="32" t="n">
        <f aca="false">COUNTIF(S4:S32,"E")</f>
        <v>0</v>
      </c>
      <c r="T37" s="32" t="n">
        <f aca="false">COUNTIF(T4:T32,"E")</f>
        <v>0</v>
      </c>
      <c r="U37" s="32" t="n">
        <f aca="false">COUNTIF(U4:U32,"E")</f>
        <v>0</v>
      </c>
      <c r="V37" s="32" t="n">
        <f aca="false">COUNTIF(V4:V32,"E")</f>
        <v>0</v>
      </c>
      <c r="W37" s="32" t="n">
        <f aca="false">COUNTIF(W4:W32,"E")</f>
        <v>0</v>
      </c>
      <c r="X37" s="32" t="n">
        <f aca="false">COUNTIF(X4:X32,"E")</f>
        <v>0</v>
      </c>
    </row>
    <row r="38" customFormat="false" ht="15.75" hidden="false" customHeight="false" outlineLevel="0" collapsed="false">
      <c r="C38" s="30" t="s">
        <v>68</v>
      </c>
      <c r="E38" s="31" t="n">
        <f aca="false">COUNTIF(E4:E32,"Disp")</f>
        <v>2</v>
      </c>
      <c r="F38" s="32" t="n">
        <f aca="false">COUNTIF(F4:F32,"Disp")</f>
        <v>0</v>
      </c>
      <c r="G38" s="32" t="n">
        <f aca="false">COUNTIF(G4:G32,"Disp")</f>
        <v>2</v>
      </c>
      <c r="H38" s="32" t="n">
        <f aca="false">COUNTIF(H4:H32,"Disp")</f>
        <v>0</v>
      </c>
      <c r="I38" s="32" t="n">
        <f aca="false">COUNTIF(I4:I32,"Disp")</f>
        <v>2</v>
      </c>
      <c r="J38" s="32" t="n">
        <f aca="false">COUNTIF(J4:J32,"Disp")</f>
        <v>0</v>
      </c>
      <c r="K38" s="32" t="n">
        <f aca="false">COUNTIF(K4:K32,"Disp")</f>
        <v>2</v>
      </c>
      <c r="L38" s="32" t="n">
        <f aca="false">COUNTIF(L4:L32,"Disp")</f>
        <v>0</v>
      </c>
      <c r="M38" s="32" t="n">
        <f aca="false">COUNTIF(M4:M32,"Disp")</f>
        <v>0</v>
      </c>
      <c r="N38" s="32" t="n">
        <f aca="false">COUNTIF(N4:N32,"Disp")</f>
        <v>0</v>
      </c>
      <c r="O38" s="32" t="n">
        <f aca="false">COUNTIF(O4:O32,"Disp")</f>
        <v>0</v>
      </c>
      <c r="P38" s="32" t="n">
        <f aca="false">COUNTIF(P4:P32,"Disp")</f>
        <v>0</v>
      </c>
      <c r="Q38" s="32" t="n">
        <f aca="false">COUNTIF(Q4:Q32,"Disp")</f>
        <v>0</v>
      </c>
      <c r="R38" s="32" t="n">
        <f aca="false">COUNTIF(R4:R32,"Disp")</f>
        <v>0</v>
      </c>
      <c r="S38" s="32" t="n">
        <f aca="false">COUNTIF(S4:S32,"Disp")</f>
        <v>0</v>
      </c>
      <c r="T38" s="32" t="n">
        <f aca="false">COUNTIF(T4:T32,"Disp")</f>
        <v>0</v>
      </c>
      <c r="U38" s="32" t="n">
        <f aca="false">COUNTIF(U4:U32,"Disp")</f>
        <v>0</v>
      </c>
      <c r="V38" s="32" t="n">
        <f aca="false">COUNTIF(V4:V32,"Disp")</f>
        <v>0</v>
      </c>
      <c r="W38" s="32" t="n">
        <f aca="false">COUNTIF(W4:W32,"Disp")</f>
        <v>0</v>
      </c>
      <c r="X38" s="32" t="n">
        <f aca="false">COUNTIF(X4:X32,"Disp")</f>
        <v>0</v>
      </c>
    </row>
    <row r="40" customFormat="false" ht="15.75" hidden="false" customHeight="false" outlineLevel="0" collapsed="false">
      <c r="C40" s="35" t="s">
        <v>69</v>
      </c>
      <c r="D40" s="2"/>
      <c r="E40" s="36" t="n">
        <f aca="false">E35/E34</f>
        <v>0.625</v>
      </c>
      <c r="F40" s="14" t="n">
        <f aca="false">F35/F34</f>
        <v>0.708333333333333</v>
      </c>
      <c r="G40" s="14" t="n">
        <f aca="false">G35/G34</f>
        <v>0.458333333333333</v>
      </c>
      <c r="H40" s="14" t="n">
        <f aca="false">H35/H34</f>
        <v>0.5</v>
      </c>
      <c r="I40" s="14" t="n">
        <f aca="false">I35/I34</f>
        <v>0.5</v>
      </c>
      <c r="J40" s="14" t="n">
        <f aca="false">J35/J34</f>
        <v>0.625</v>
      </c>
      <c r="K40" s="14" t="n">
        <f aca="false">K35/K34</f>
        <v>0.333333333333333</v>
      </c>
      <c r="L40" s="14" t="n">
        <f aca="false">L35/L34</f>
        <v>0.851851851851852</v>
      </c>
      <c r="M40" s="14" t="e">
        <f aca="false">M35/M34</f>
        <v>#DIV/0!</v>
      </c>
      <c r="N40" s="14" t="e">
        <f aca="false">N35/N34</f>
        <v>#DIV/0!</v>
      </c>
      <c r="O40" s="14" t="e">
        <f aca="false">O35/O34</f>
        <v>#DIV/0!</v>
      </c>
      <c r="P40" s="14" t="e">
        <f aca="false">P35/P34</f>
        <v>#DIV/0!</v>
      </c>
      <c r="Q40" s="14" t="e">
        <f aca="false">Q35/Q34</f>
        <v>#DIV/0!</v>
      </c>
      <c r="R40" s="14" t="e">
        <f aca="false">R35/R34</f>
        <v>#DIV/0!</v>
      </c>
      <c r="S40" s="14" t="n">
        <f aca="false">S35/S34</f>
        <v>1</v>
      </c>
      <c r="T40" s="14" t="e">
        <f aca="false">T35/T34</f>
        <v>#DIV/0!</v>
      </c>
      <c r="U40" s="14" t="e">
        <f aca="false">U35/U34</f>
        <v>#DIV/0!</v>
      </c>
      <c r="V40" s="14" t="e">
        <f aca="false">V35/V34</f>
        <v>#DIV/0!</v>
      </c>
      <c r="W40" s="14" t="e">
        <f aca="false">W35/W34</f>
        <v>#DIV/0!</v>
      </c>
      <c r="X40" s="14" t="e">
        <f aca="false">X35/X34</f>
        <v>#DIV/0!</v>
      </c>
    </row>
    <row r="41" customFormat="false" ht="15.75" hidden="false" customHeight="false" outlineLevel="0" collapsed="false">
      <c r="C41" s="35" t="s">
        <v>70</v>
      </c>
      <c r="D41" s="2"/>
      <c r="E41" s="36" t="n">
        <f aca="false">E36/E34</f>
        <v>0.0416666666666667</v>
      </c>
      <c r="F41" s="14" t="n">
        <f aca="false">F36/F34</f>
        <v>0.0416666666666667</v>
      </c>
      <c r="G41" s="14" t="n">
        <f aca="false">G36/G34</f>
        <v>0.0833333333333333</v>
      </c>
      <c r="H41" s="14" t="n">
        <f aca="false">H36/H34</f>
        <v>0.0416666666666667</v>
      </c>
      <c r="I41" s="14" t="n">
        <f aca="false">I36/I34</f>
        <v>0.0416666666666667</v>
      </c>
      <c r="J41" s="14" t="n">
        <f aca="false">J36/J34</f>
        <v>0.0833333333333333</v>
      </c>
      <c r="K41" s="14" t="n">
        <f aca="false">K36/K34</f>
        <v>0</v>
      </c>
      <c r="L41" s="14" t="n">
        <f aca="false">L36/L34</f>
        <v>0</v>
      </c>
      <c r="M41" s="14" t="e">
        <f aca="false">M36/M34</f>
        <v>#DIV/0!</v>
      </c>
      <c r="N41" s="14" t="e">
        <f aca="false">N36/N34</f>
        <v>#DIV/0!</v>
      </c>
      <c r="O41" s="14" t="e">
        <f aca="false">O36/O34</f>
        <v>#DIV/0!</v>
      </c>
      <c r="P41" s="14" t="e">
        <f aca="false">P36/P34</f>
        <v>#DIV/0!</v>
      </c>
      <c r="Q41" s="14" t="e">
        <f aca="false">Q36/Q34</f>
        <v>#DIV/0!</v>
      </c>
      <c r="R41" s="14" t="e">
        <f aca="false">R36/R34</f>
        <v>#DIV/0!</v>
      </c>
      <c r="S41" s="14" t="n">
        <f aca="false">S36/S34</f>
        <v>0</v>
      </c>
      <c r="T41" s="14" t="e">
        <f aca="false">T36/T34</f>
        <v>#DIV/0!</v>
      </c>
      <c r="U41" s="14" t="e">
        <f aca="false">U36/U34</f>
        <v>#DIV/0!</v>
      </c>
      <c r="V41" s="14" t="e">
        <f aca="false">V36/V34</f>
        <v>#DIV/0!</v>
      </c>
      <c r="W41" s="14" t="e">
        <f aca="false">W36/W34</f>
        <v>#DIV/0!</v>
      </c>
      <c r="X41" s="14" t="e">
        <f aca="false">X36/X34</f>
        <v>#DIV/0!</v>
      </c>
    </row>
    <row r="42" customFormat="false" ht="15.75" hidden="false" customHeight="false" outlineLevel="0" collapsed="false">
      <c r="C42" s="35" t="s">
        <v>71</v>
      </c>
      <c r="D42" s="2"/>
      <c r="E42" s="36" t="n">
        <f aca="false">E37/E34</f>
        <v>0.25</v>
      </c>
      <c r="F42" s="14" t="n">
        <f aca="false">F37/F34</f>
        <v>0.25</v>
      </c>
      <c r="G42" s="14" t="n">
        <f aca="false">G37/G34</f>
        <v>0.375</v>
      </c>
      <c r="H42" s="14" t="n">
        <f aca="false">H37/H34</f>
        <v>0.458333333333333</v>
      </c>
      <c r="I42" s="14" t="n">
        <f aca="false">I37/I34</f>
        <v>0.375</v>
      </c>
      <c r="J42" s="14" t="n">
        <f aca="false">J37/J34</f>
        <v>0.291666666666667</v>
      </c>
      <c r="K42" s="14" t="n">
        <f aca="false">K37/K34</f>
        <v>0.333333333333333</v>
      </c>
      <c r="L42" s="14" t="n">
        <f aca="false">L37/L34</f>
        <v>0.148148148148148</v>
      </c>
      <c r="M42" s="14" t="e">
        <f aca="false">M37/M34</f>
        <v>#DIV/0!</v>
      </c>
      <c r="N42" s="14" t="e">
        <f aca="false">N37/N34</f>
        <v>#DIV/0!</v>
      </c>
      <c r="O42" s="14" t="e">
        <f aca="false">O37/O34</f>
        <v>#DIV/0!</v>
      </c>
      <c r="P42" s="14" t="e">
        <f aca="false">P37/P34</f>
        <v>#DIV/0!</v>
      </c>
      <c r="Q42" s="14" t="e">
        <f aca="false">Q37/Q34</f>
        <v>#DIV/0!</v>
      </c>
      <c r="R42" s="14" t="e">
        <f aca="false">R37/R34</f>
        <v>#DIV/0!</v>
      </c>
      <c r="S42" s="14" t="n">
        <f aca="false">S37/S34</f>
        <v>0</v>
      </c>
      <c r="T42" s="14" t="e">
        <f aca="false">T37/T34</f>
        <v>#DIV/0!</v>
      </c>
      <c r="U42" s="14" t="e">
        <f aca="false">U37/U34</f>
        <v>#DIV/0!</v>
      </c>
      <c r="V42" s="14" t="e">
        <f aca="false">V37/V34</f>
        <v>#DIV/0!</v>
      </c>
      <c r="W42" s="14" t="e">
        <f aca="false">W37/W34</f>
        <v>#DIV/0!</v>
      </c>
      <c r="X42" s="14" t="e">
        <f aca="false">X37/X34</f>
        <v>#DIV/0!</v>
      </c>
    </row>
    <row r="43" customFormat="false" ht="15.75" hidden="false" customHeight="false" outlineLevel="0" collapsed="false">
      <c r="C43" s="35" t="s">
        <v>72</v>
      </c>
      <c r="D43" s="2"/>
      <c r="E43" s="36" t="n">
        <f aca="false">E38/E34</f>
        <v>0.0833333333333333</v>
      </c>
      <c r="F43" s="14" t="n">
        <f aca="false">F38/F34</f>
        <v>0</v>
      </c>
      <c r="G43" s="14" t="n">
        <f aca="false">G38/G34</f>
        <v>0.0833333333333333</v>
      </c>
      <c r="H43" s="14" t="n">
        <f aca="false">H38/H34</f>
        <v>0</v>
      </c>
      <c r="I43" s="14" t="n">
        <f aca="false">I38/I34</f>
        <v>0.0833333333333333</v>
      </c>
      <c r="J43" s="14" t="n">
        <f aca="false">J38/J34</f>
        <v>0</v>
      </c>
      <c r="K43" s="14" t="n">
        <f aca="false">K38/K34</f>
        <v>0.333333333333333</v>
      </c>
      <c r="L43" s="14" t="n">
        <f aca="false">L38/L34</f>
        <v>0</v>
      </c>
      <c r="M43" s="14" t="e">
        <f aca="false">M38/M34</f>
        <v>#DIV/0!</v>
      </c>
      <c r="N43" s="14" t="e">
        <f aca="false">N38/N34</f>
        <v>#DIV/0!</v>
      </c>
      <c r="O43" s="14" t="e">
        <f aca="false">O38/O34</f>
        <v>#DIV/0!</v>
      </c>
      <c r="P43" s="14" t="e">
        <f aca="false">P38/P34</f>
        <v>#DIV/0!</v>
      </c>
      <c r="Q43" s="14" t="e">
        <f aca="false">Q38/Q34</f>
        <v>#DIV/0!</v>
      </c>
      <c r="R43" s="14" t="e">
        <f aca="false">R38/R34</f>
        <v>#DIV/0!</v>
      </c>
      <c r="S43" s="14" t="n">
        <f aca="false">S38/S34</f>
        <v>0</v>
      </c>
      <c r="T43" s="14" t="e">
        <f aca="false">T38/T34</f>
        <v>#DIV/0!</v>
      </c>
      <c r="U43" s="14" t="e">
        <f aca="false">U38/U34</f>
        <v>#DIV/0!</v>
      </c>
      <c r="V43" s="14" t="e">
        <f aca="false">V38/V34</f>
        <v>#DIV/0!</v>
      </c>
      <c r="W43" s="14" t="e">
        <f aca="false">W38/W34</f>
        <v>#DIV/0!</v>
      </c>
      <c r="X43" s="14" t="e">
        <f aca="false">X38/X34</f>
        <v>#DIV/0!</v>
      </c>
    </row>
    <row r="44" customFormat="false" ht="15.75" hidden="false" customHeight="false" outlineLevel="0" collapsed="false"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</row>
    <row r="45" customFormat="false" ht="15.75" hidden="false" customHeight="false" outlineLevel="0" collapsed="false"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</row>
    <row r="46" customFormat="false" ht="15.75" hidden="false" customHeight="false" outlineLevel="0" collapsed="false">
      <c r="C46" s="38" t="s">
        <v>73</v>
      </c>
      <c r="E46" s="39" t="n">
        <f aca="false">E35/(E34-E38)</f>
        <v>0.681818181818182</v>
      </c>
      <c r="F46" s="40" t="n">
        <f aca="false">F35/(F34-F38)</f>
        <v>0.708333333333333</v>
      </c>
      <c r="G46" s="40" t="n">
        <f aca="false">G35/(G34-G38)</f>
        <v>0.5</v>
      </c>
      <c r="H46" s="40" t="n">
        <f aca="false">H35/(H34-H38)</f>
        <v>0.5</v>
      </c>
      <c r="I46" s="40" t="n">
        <f aca="false">I35/(I34-I38)</f>
        <v>0.545454545454545</v>
      </c>
      <c r="J46" s="40" t="n">
        <f aca="false">J35/(J34-J38)</f>
        <v>0.625</v>
      </c>
      <c r="K46" s="40" t="n">
        <f aca="false">K35/(K34-K38)</f>
        <v>0.5</v>
      </c>
      <c r="L46" s="40" t="n">
        <f aca="false">L35/(L34-L38)</f>
        <v>0.851851851851852</v>
      </c>
      <c r="M46" s="40" t="e">
        <f aca="false">M35/(M34-M38)</f>
        <v>#DIV/0!</v>
      </c>
      <c r="N46" s="40" t="e">
        <f aca="false">N35/(N34-N38)</f>
        <v>#DIV/0!</v>
      </c>
      <c r="O46" s="40" t="e">
        <f aca="false">O35/(O34-O38)</f>
        <v>#DIV/0!</v>
      </c>
      <c r="P46" s="40" t="e">
        <f aca="false">P35/(P34-P38)</f>
        <v>#DIV/0!</v>
      </c>
      <c r="Q46" s="40" t="e">
        <f aca="false">Q35/(Q34-Q38)</f>
        <v>#DIV/0!</v>
      </c>
      <c r="R46" s="40" t="e">
        <f aca="false">R35/(R34-R38)</f>
        <v>#DIV/0!</v>
      </c>
      <c r="S46" s="40" t="n">
        <f aca="false">S35/(S34-S38)</f>
        <v>1</v>
      </c>
      <c r="T46" s="40" t="e">
        <f aca="false">T35/(T34-T38)</f>
        <v>#DIV/0!</v>
      </c>
      <c r="U46" s="40" t="e">
        <f aca="false">U35/(U34-U38)</f>
        <v>#DIV/0!</v>
      </c>
      <c r="V46" s="40" t="e">
        <f aca="false">V35/(V34-V38)</f>
        <v>#DIV/0!</v>
      </c>
      <c r="W46" s="40" t="e">
        <f aca="false">W35/(W34-W38)</f>
        <v>#DIV/0!</v>
      </c>
      <c r="X46" s="40" t="e">
        <f aca="false">X35/(X34-X38)</f>
        <v>#DIV/0!</v>
      </c>
    </row>
    <row r="47" customFormat="false" ht="15.75" hidden="false" customHeight="false" outlineLevel="0" collapsed="false">
      <c r="C47" s="38" t="s">
        <v>74</v>
      </c>
      <c r="E47" s="39" t="n">
        <f aca="false">(E37+E36)/(E34-E38)</f>
        <v>0.318181818181818</v>
      </c>
      <c r="F47" s="40" t="n">
        <f aca="false">(F37+F36)/(F34-F38)</f>
        <v>0.291666666666667</v>
      </c>
      <c r="G47" s="40" t="n">
        <f aca="false">(G37+G36)/(G34-G38)</f>
        <v>0.5</v>
      </c>
      <c r="H47" s="40" t="n">
        <f aca="false">(H37+H36)/(H34-H38)</f>
        <v>0.5</v>
      </c>
      <c r="I47" s="40" t="n">
        <f aca="false">(I37+I36)/(I34-I38)</f>
        <v>0.454545454545455</v>
      </c>
      <c r="J47" s="40" t="n">
        <f aca="false">(J37+J36)/(J34-J38)</f>
        <v>0.375</v>
      </c>
      <c r="K47" s="40" t="n">
        <f aca="false">(K37+K36)/(K34-K38)</f>
        <v>0.5</v>
      </c>
      <c r="L47" s="40" t="n">
        <f aca="false">(L37+L36)/(L34-L38)</f>
        <v>0.148148148148148</v>
      </c>
      <c r="M47" s="40" t="e">
        <f aca="false">(M37+M36)/(M34-M38)</f>
        <v>#DIV/0!</v>
      </c>
      <c r="N47" s="40" t="e">
        <f aca="false">(N37+N36)/(N34-N38)</f>
        <v>#DIV/0!</v>
      </c>
      <c r="O47" s="40" t="e">
        <f aca="false">(O37+O36)/(O34-O38)</f>
        <v>#DIV/0!</v>
      </c>
      <c r="P47" s="40" t="e">
        <f aca="false">(P37+P36)/(P34-P38)</f>
        <v>#DIV/0!</v>
      </c>
      <c r="Q47" s="40" t="e">
        <f aca="false">(Q37+Q36)/(Q34-Q38)</f>
        <v>#DIV/0!</v>
      </c>
      <c r="R47" s="40" t="e">
        <f aca="false">(R37+R36)/(R34-R38)</f>
        <v>#DIV/0!</v>
      </c>
      <c r="S47" s="40" t="n">
        <f aca="false">(S37+S36)/(S34-S38)</f>
        <v>0</v>
      </c>
      <c r="T47" s="40" t="e">
        <f aca="false">(T37+T36)/(T34-T38)</f>
        <v>#DIV/0!</v>
      </c>
      <c r="U47" s="40" t="e">
        <f aca="false">(U37+U36)/(U34-U38)</f>
        <v>#DIV/0!</v>
      </c>
      <c r="V47" s="40" t="e">
        <f aca="false">(V37+V36)/(V34-V38)</f>
        <v>#DIV/0!</v>
      </c>
      <c r="W47" s="40" t="e">
        <f aca="false">(W37+W36)/(W34-W38)</f>
        <v>#DIV/0!</v>
      </c>
      <c r="X47" s="40" t="e">
        <f aca="false">(X37+X36)/(X34-X38)</f>
        <v>#DIV/0!</v>
      </c>
    </row>
    <row r="49" customFormat="false" ht="15.75" hidden="false" customHeight="false" outlineLevel="0" collapsed="false">
      <c r="C49" s="1" t="s">
        <v>75</v>
      </c>
      <c r="D49" s="2" t="n">
        <f aca="false">COUNTIF(D4:D32,"App∴ ")</f>
        <v>5</v>
      </c>
    </row>
    <row r="50" customFormat="false" ht="15.75" hidden="false" customHeight="false" outlineLevel="0" collapsed="false">
      <c r="C50" s="1" t="s">
        <v>76</v>
      </c>
      <c r="D50" s="2" t="n">
        <f aca="false">COUNTIF(D4:D32,"Comp∴ ")</f>
        <v>0</v>
      </c>
    </row>
    <row r="51" customFormat="false" ht="15.75" hidden="false" customHeight="false" outlineLevel="0" collapsed="false">
      <c r="C51" s="1" t="s">
        <v>77</v>
      </c>
      <c r="D51" s="2" t="n">
        <f aca="false">COUNTIF(D4:D32,"M∴ ")</f>
        <v>24</v>
      </c>
    </row>
    <row r="52" customFormat="false" ht="15.75" hidden="false" customHeight="false" outlineLevel="0" collapsed="false">
      <c r="E52" s="1" t="n">
        <v>7</v>
      </c>
      <c r="F52" s="1" t="n">
        <v>12</v>
      </c>
      <c r="G52" s="1" t="n">
        <v>12</v>
      </c>
      <c r="H52" s="1" t="n">
        <v>8</v>
      </c>
    </row>
    <row r="53" customFormat="false" ht="15.75" hidden="false" customHeight="false" outlineLevel="0" collapsed="false">
      <c r="A53" s="1" t="s">
        <v>78</v>
      </c>
      <c r="C53" s="1" t="n">
        <f aca="false">AVERAGE(E53:J53)</f>
        <v>10.6666666666667</v>
      </c>
      <c r="E53" s="1" t="n">
        <v>7</v>
      </c>
      <c r="F53" s="1" t="n">
        <v>10</v>
      </c>
      <c r="G53" s="1" t="n">
        <v>12</v>
      </c>
      <c r="H53" s="1" t="n">
        <v>10</v>
      </c>
      <c r="I53" s="1" t="n">
        <v>10</v>
      </c>
      <c r="J53" s="1" t="n">
        <v>15</v>
      </c>
      <c r="L53" s="1" t="n">
        <v>15</v>
      </c>
      <c r="Z53" s="41" t="n">
        <f aca="false">AVERAGE(E53:P53)</f>
        <v>11.2857142857143</v>
      </c>
    </row>
    <row r="54" customFormat="false" ht="15.75" hidden="false" customHeight="false" outlineLevel="0" collapsed="false">
      <c r="Z54" s="41"/>
    </row>
    <row r="55" customFormat="false" ht="15.75" hidden="false" customHeight="false" outlineLevel="0" collapsed="false">
      <c r="A55" s="1" t="s">
        <v>79</v>
      </c>
      <c r="C55" s="1" t="n">
        <f aca="false">AVERAGE(E55:J55)</f>
        <v>24.3333333333333</v>
      </c>
      <c r="E55" s="42" t="n">
        <f aca="false">E53+E35</f>
        <v>22</v>
      </c>
      <c r="F55" s="42" t="n">
        <f aca="false">F53+F35</f>
        <v>27</v>
      </c>
      <c r="G55" s="42" t="n">
        <f aca="false">G53+G35</f>
        <v>23</v>
      </c>
      <c r="H55" s="42" t="n">
        <f aca="false">H53+H35</f>
        <v>22</v>
      </c>
      <c r="I55" s="42" t="n">
        <f aca="false">I53+I35</f>
        <v>22</v>
      </c>
      <c r="J55" s="42" t="n">
        <f aca="false">J53+J35</f>
        <v>30</v>
      </c>
      <c r="K55" s="42" t="n">
        <f aca="false">K53+K35</f>
        <v>2</v>
      </c>
      <c r="L55" s="42" t="n">
        <f aca="false">L53+L35</f>
        <v>38</v>
      </c>
      <c r="M55" s="42" t="n">
        <f aca="false">M53+M35</f>
        <v>0</v>
      </c>
      <c r="N55" s="42" t="n">
        <f aca="false">N53+N35</f>
        <v>0</v>
      </c>
      <c r="O55" s="42" t="n">
        <f aca="false">O53+O35</f>
        <v>0</v>
      </c>
      <c r="P55" s="42" t="n">
        <f aca="false">P53+P35</f>
        <v>0</v>
      </c>
      <c r="Q55" s="42" t="n">
        <f aca="false">Q53+Q35</f>
        <v>0</v>
      </c>
      <c r="R55" s="42" t="n">
        <f aca="false">R53+R35</f>
        <v>0</v>
      </c>
      <c r="S55" s="42" t="n">
        <f aca="false">S53+S35</f>
        <v>2</v>
      </c>
      <c r="T55" s="42" t="n">
        <f aca="false">T53+T35</f>
        <v>0</v>
      </c>
      <c r="U55" s="42" t="n">
        <f aca="false">U53+U35</f>
        <v>0</v>
      </c>
      <c r="V55" s="42" t="n">
        <f aca="false">V53+V35</f>
        <v>0</v>
      </c>
      <c r="W55" s="42" t="n">
        <f aca="false">W53+W35</f>
        <v>0</v>
      </c>
      <c r="X55" s="42" t="n">
        <f aca="false">X53+X35</f>
        <v>0</v>
      </c>
      <c r="Z55" s="41" t="n">
        <f aca="false">AVERAGE(E55:P55)</f>
        <v>15.5</v>
      </c>
    </row>
  </sheetData>
  <autoFilter ref="A2:AI32"/>
  <conditionalFormatting sqref="AA4:AA3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C4:AC32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E4:AE32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40:P40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46:P46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Z53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Z55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53:P53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55:X55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dataValidations count="2">
    <dataValidation allowBlank="true" errorStyle="stop" operator="between" showDropDown="false" showErrorMessage="true" showInputMessage="true" sqref="E3:X3 D4:D34" type="list">
      <formula1>"App∴ ,Comp∴ ,M∴ "</formula1>
      <formula2>0</formula2>
    </dataValidation>
    <dataValidation allowBlank="true" errorStyle="stop" operator="between" showDropDown="false" showErrorMessage="true" showInputMessage="true" sqref="E4:X32" type="list">
      <formula1>"P,E,A,Disp"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A1" activeCellId="0" sqref="A1"/>
    </sheetView>
  </sheetViews>
  <sheetFormatPr defaultColWidth="9.00390625" defaultRowHeight="15.7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Collabora_Office/23.05.5.4$Linux_X86_64 LibreOffice_project/1681200a96e5ffa1bee996c23ec760042f91abfa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2022-04-03T16:13:09Z</dcterms:created>
  <dc:creator>Francois Auer</dc:creator>
  <dc:description/>
  <dc:language>fr-FR</dc:language>
  <cp:lastModifiedBy/>
  <dcterms:modified xsi:type="dcterms:W3CDTF">2023-11-20T13:53:00Z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6915f3-2f02-4945-8997-f2963298db46_ActionId">
    <vt:lpwstr>b72e87e5-9c20-44a7-9f25-19e56cd66e81</vt:lpwstr>
  </property>
  <property fmtid="{D5CDD505-2E9C-101B-9397-08002B2CF9AE}" pid="3" name="MSIP_Label_736915f3-2f02-4945-8997-f2963298db46_ContentBits">
    <vt:lpwstr>1</vt:lpwstr>
  </property>
  <property fmtid="{D5CDD505-2E9C-101B-9397-08002B2CF9AE}" pid="4" name="MSIP_Label_736915f3-2f02-4945-8997-f2963298db46_Enabled">
    <vt:lpwstr>true</vt:lpwstr>
  </property>
  <property fmtid="{D5CDD505-2E9C-101B-9397-08002B2CF9AE}" pid="5" name="MSIP_Label_736915f3-2f02-4945-8997-f2963298db46_Method">
    <vt:lpwstr>Standard</vt:lpwstr>
  </property>
  <property fmtid="{D5CDD505-2E9C-101B-9397-08002B2CF9AE}" pid="6" name="MSIP_Label_736915f3-2f02-4945-8997-f2963298db46_Name">
    <vt:lpwstr>Internal</vt:lpwstr>
  </property>
  <property fmtid="{D5CDD505-2E9C-101B-9397-08002B2CF9AE}" pid="7" name="MSIP_Label_736915f3-2f02-4945-8997-f2963298db46_SetDate">
    <vt:lpwstr>2023-01-13T18:15:50Z</vt:lpwstr>
  </property>
  <property fmtid="{D5CDD505-2E9C-101B-9397-08002B2CF9AE}" pid="8" name="MSIP_Label_736915f3-2f02-4945-8997-f2963298db46_SiteId">
    <vt:lpwstr>cd99fef8-1cd3-4a2a-9bdf-15531181d65e</vt:lpwstr>
  </property>
</Properties>
</file>