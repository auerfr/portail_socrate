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ois/Downloads/"/>
    </mc:Choice>
  </mc:AlternateContent>
  <xr:revisionPtr revIDLastSave="0" documentId="13_ncr:1_{CCAA0F03-6000-A940-95CB-A1AE5FFEE036}" xr6:coauthVersionLast="47" xr6:coauthVersionMax="47" xr10:uidLastSave="{00000000-0000-0000-0000-000000000000}"/>
  <bookViews>
    <workbookView xWindow="4020" yWindow="4400" windowWidth="27640" windowHeight="16940" xr2:uid="{AB8058CB-904F-8040-9C2D-A66AFA020754}"/>
  </bookViews>
  <sheets>
    <sheet name="Année 1" sheetId="1" r:id="rId1"/>
    <sheet name="autres anné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6" i="2" l="1"/>
  <c r="C11" i="2"/>
  <c r="C13" i="2" s="1"/>
  <c r="D11" i="2"/>
  <c r="D13" i="2" s="1"/>
  <c r="E11" i="2"/>
  <c r="F11" i="2"/>
  <c r="F13" i="2" s="1"/>
  <c r="G11" i="2"/>
  <c r="H11" i="2"/>
  <c r="H13" i="2" s="1"/>
  <c r="F8" i="2"/>
  <c r="E13" i="2"/>
  <c r="G13" i="2"/>
  <c r="B11" i="2"/>
  <c r="C4" i="2"/>
  <c r="D4" i="2"/>
  <c r="E4" i="2"/>
  <c r="F4" i="2"/>
  <c r="G4" i="2"/>
  <c r="H4" i="2"/>
  <c r="B4" i="2"/>
  <c r="C7" i="2"/>
  <c r="C8" i="2" s="1"/>
  <c r="D7" i="2"/>
  <c r="D8" i="2" s="1"/>
  <c r="E7" i="2"/>
  <c r="E8" i="2" s="1"/>
  <c r="F7" i="2"/>
  <c r="G7" i="2"/>
  <c r="G8" i="2" s="1"/>
  <c r="H7" i="2"/>
  <c r="H8" i="2" s="1"/>
  <c r="B7" i="2"/>
  <c r="B8" i="2" s="1"/>
  <c r="D6" i="2"/>
  <c r="E6" i="2"/>
  <c r="F6" i="2"/>
  <c r="G6" i="2"/>
  <c r="H6" i="2"/>
  <c r="C6" i="2"/>
  <c r="B6" i="2"/>
  <c r="D15" i="1"/>
  <c r="D14" i="1"/>
  <c r="D19" i="1" s="1"/>
  <c r="D5" i="1"/>
  <c r="D6" i="1"/>
  <c r="D4" i="1"/>
  <c r="D8" i="1" s="1"/>
  <c r="B13" i="2" l="1"/>
  <c r="B14" i="2" s="1"/>
  <c r="C14" i="2" s="1"/>
  <c r="D14" i="2" s="1"/>
  <c r="E14" i="2" s="1"/>
  <c r="F14" i="2" s="1"/>
  <c r="G14" i="2" s="1"/>
  <c r="H14" i="2" s="1"/>
  <c r="D17" i="1"/>
  <c r="D21" i="1" s="1"/>
  <c r="D25" i="1" s="1"/>
</calcChain>
</file>

<file path=xl/sharedStrings.xml><?xml version="1.0" encoding="utf-8"?>
<sst xmlns="http://schemas.openxmlformats.org/spreadsheetml/2006/main" count="45" uniqueCount="38">
  <si>
    <t>Couts Fixes</t>
  </si>
  <si>
    <t>Locations salles</t>
  </si>
  <si>
    <t>Quantité</t>
  </si>
  <si>
    <t>Creation année 1</t>
  </si>
  <si>
    <t>Matos</t>
  </si>
  <si>
    <t>Total Année 1</t>
  </si>
  <si>
    <t>Total Année 2 et suivante</t>
  </si>
  <si>
    <t>Appartenance</t>
  </si>
  <si>
    <t>Affiliation</t>
  </si>
  <si>
    <t>Recettes</t>
  </si>
  <si>
    <t>Affiliés</t>
  </si>
  <si>
    <t>Aide congres</t>
  </si>
  <si>
    <t>Tarif unitaire</t>
  </si>
  <si>
    <t>Solde</t>
  </si>
  <si>
    <t>Année 1</t>
  </si>
  <si>
    <t>Année Suivante</t>
  </si>
  <si>
    <t>Solde année suivante</t>
  </si>
  <si>
    <t>Tarif par F et S</t>
  </si>
  <si>
    <t>Capitation</t>
  </si>
  <si>
    <t>Total</t>
  </si>
  <si>
    <t>Nb FF et SS</t>
  </si>
  <si>
    <t>Nb Affiliés</t>
  </si>
  <si>
    <t>Année 2</t>
  </si>
  <si>
    <t>Année 3</t>
  </si>
  <si>
    <t>Année 4</t>
  </si>
  <si>
    <t>Année 5</t>
  </si>
  <si>
    <t>Année 6</t>
  </si>
  <si>
    <t>Année 7</t>
  </si>
  <si>
    <t>Cout Fixe</t>
  </si>
  <si>
    <t>Cout Capitation</t>
  </si>
  <si>
    <t>Tresorerie</t>
  </si>
  <si>
    <t>Cotisation A1</t>
  </si>
  <si>
    <t>Cotisation année +2</t>
  </si>
  <si>
    <t>Aide region 800</t>
  </si>
  <si>
    <t>Medaille autre 200</t>
  </si>
  <si>
    <t>Montant Unitaire</t>
  </si>
  <si>
    <t>Montant Total</t>
  </si>
  <si>
    <t>Medailel Autre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</si>
</sst>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* #,##0.00_)\ &quot;€&quot;_ ;_ * \(#,##0.00\)\ &quot;€&quot;_ ;_ * &quot;-&quot;??_)\ &quot;€&quot;_ ;_ @_ 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F7CF-4221-8C47-874B-9C8AB3F74CC0}">
  <dimension ref="A1:H25"/>
  <sheetViews>
    <sheetView tabSelected="1" workbookViewId="0">
      <selection activeCell="J21" sqref="J21"/>
    </sheetView>
  </sheetViews>
  <sheetFormatPr baseColWidth="10" defaultRowHeight="16" x14ac:dyDescent="0.2"/>
  <cols>
    <col min="1" max="1" width="19.1640625" customWidth="1"/>
  </cols>
  <sheetData>
    <row r="1" spans="1:8" x14ac:dyDescent="0.2">
      <c r="A1" t="s">
        <v>0</v>
      </c>
      <c r="G1" t="s">
        <v>7</v>
      </c>
      <c r="H1">
        <v>14</v>
      </c>
    </row>
    <row r="2" spans="1:8" x14ac:dyDescent="0.2">
      <c r="G2" t="s">
        <v>8</v>
      </c>
      <c r="H2">
        <v>7</v>
      </c>
    </row>
    <row r="3" spans="1:8" x14ac:dyDescent="0.2">
      <c r="B3" t="s">
        <v>35</v>
      </c>
      <c r="C3" t="s">
        <v>2</v>
      </c>
      <c r="D3" t="s">
        <v>36</v>
      </c>
    </row>
    <row r="4" spans="1:8" x14ac:dyDescent="0.2">
      <c r="A4" t="s">
        <v>1</v>
      </c>
      <c r="B4">
        <v>160</v>
      </c>
      <c r="C4">
        <v>20</v>
      </c>
      <c r="D4">
        <f>C4*B4</f>
        <v>3200</v>
      </c>
    </row>
    <row r="5" spans="1:8" x14ac:dyDescent="0.2">
      <c r="A5" t="s">
        <v>3</v>
      </c>
      <c r="B5">
        <v>600</v>
      </c>
      <c r="C5">
        <v>1</v>
      </c>
      <c r="D5">
        <f t="shared" ref="D5:D6" si="0">C5*B5</f>
        <v>600</v>
      </c>
    </row>
    <row r="6" spans="1:8" x14ac:dyDescent="0.2">
      <c r="A6" t="s">
        <v>4</v>
      </c>
      <c r="B6">
        <v>500</v>
      </c>
      <c r="C6">
        <v>1</v>
      </c>
      <c r="D6">
        <f t="shared" si="0"/>
        <v>500</v>
      </c>
    </row>
    <row r="8" spans="1:8" x14ac:dyDescent="0.2">
      <c r="A8" t="s">
        <v>5</v>
      </c>
      <c r="D8">
        <f>SUM(D4:D6)</f>
        <v>4300</v>
      </c>
    </row>
    <row r="9" spans="1:8" x14ac:dyDescent="0.2">
      <c r="A9" t="s">
        <v>6</v>
      </c>
      <c r="D9">
        <v>3500</v>
      </c>
    </row>
    <row r="12" spans="1:8" x14ac:dyDescent="0.2">
      <c r="A12" t="s">
        <v>9</v>
      </c>
      <c r="F12" t="s">
        <v>14</v>
      </c>
      <c r="G12" t="s">
        <v>15</v>
      </c>
    </row>
    <row r="13" spans="1:8" x14ac:dyDescent="0.2">
      <c r="B13" t="s">
        <v>12</v>
      </c>
    </row>
    <row r="14" spans="1:8" x14ac:dyDescent="0.2">
      <c r="A14" t="s">
        <v>10</v>
      </c>
      <c r="B14">
        <v>130</v>
      </c>
      <c r="D14">
        <f>B14*H2</f>
        <v>910</v>
      </c>
    </row>
    <row r="15" spans="1:8" x14ac:dyDescent="0.2">
      <c r="A15" t="s">
        <v>11</v>
      </c>
      <c r="B15">
        <v>800</v>
      </c>
      <c r="D15">
        <f>B15</f>
        <v>800</v>
      </c>
    </row>
    <row r="16" spans="1:8" x14ac:dyDescent="0.2">
      <c r="A16" t="s">
        <v>37</v>
      </c>
      <c r="D16">
        <v>600</v>
      </c>
    </row>
    <row r="17" spans="1:4" x14ac:dyDescent="0.2">
      <c r="A17" t="s">
        <v>13</v>
      </c>
      <c r="D17">
        <f>D8-D14-D15-D16</f>
        <v>1990</v>
      </c>
    </row>
    <row r="19" spans="1:4" x14ac:dyDescent="0.2">
      <c r="A19" t="s">
        <v>16</v>
      </c>
      <c r="D19">
        <f>D9-D14</f>
        <v>2590</v>
      </c>
    </row>
    <row r="21" spans="1:4" x14ac:dyDescent="0.2">
      <c r="A21" t="s">
        <v>17</v>
      </c>
      <c r="D21">
        <f>D17/H1</f>
        <v>142.14285714285714</v>
      </c>
    </row>
    <row r="22" spans="1:4" x14ac:dyDescent="0.2">
      <c r="A22" t="s">
        <v>18</v>
      </c>
      <c r="D22">
        <v>175</v>
      </c>
    </row>
    <row r="25" spans="1:4" x14ac:dyDescent="0.2">
      <c r="A25" t="s">
        <v>19</v>
      </c>
      <c r="D25">
        <f>D21+D22</f>
        <v>317.14285714285711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51770-063D-6A41-AFB1-A5C4CB86EB92}">
  <dimension ref="A1:K17"/>
  <sheetViews>
    <sheetView workbookViewId="0">
      <selection activeCell="K8" sqref="K8"/>
    </sheetView>
  </sheetViews>
  <sheetFormatPr baseColWidth="10" defaultRowHeight="16" x14ac:dyDescent="0.2"/>
  <cols>
    <col min="2" max="2" width="18.5" customWidth="1"/>
    <col min="3" max="8" width="11.1640625" bestFit="1" customWidth="1"/>
    <col min="10" max="10" width="22.5" bestFit="1" customWidth="1"/>
  </cols>
  <sheetData>
    <row r="1" spans="1:11" x14ac:dyDescent="0.2">
      <c r="B1" t="s">
        <v>14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11" x14ac:dyDescent="0.2">
      <c r="A2" t="s">
        <v>20</v>
      </c>
      <c r="B2">
        <v>14</v>
      </c>
      <c r="C2">
        <v>15</v>
      </c>
      <c r="D2">
        <v>17</v>
      </c>
      <c r="E2">
        <v>19</v>
      </c>
      <c r="F2">
        <v>20</v>
      </c>
      <c r="G2">
        <v>21</v>
      </c>
      <c r="H2">
        <v>22</v>
      </c>
    </row>
    <row r="3" spans="1:11" x14ac:dyDescent="0.2">
      <c r="A3" t="s">
        <v>21</v>
      </c>
      <c r="B3">
        <v>7</v>
      </c>
      <c r="C3">
        <v>8</v>
      </c>
      <c r="D3">
        <v>8</v>
      </c>
      <c r="E3">
        <v>9</v>
      </c>
      <c r="F3">
        <v>9</v>
      </c>
      <c r="G3">
        <v>9</v>
      </c>
      <c r="H3">
        <v>10</v>
      </c>
    </row>
    <row r="4" spans="1:11" x14ac:dyDescent="0.2">
      <c r="A4" t="s">
        <v>19</v>
      </c>
      <c r="B4">
        <f>B3+B2</f>
        <v>21</v>
      </c>
      <c r="C4">
        <f t="shared" ref="C4:H4" si="0">C3+C2</f>
        <v>23</v>
      </c>
      <c r="D4">
        <f t="shared" si="0"/>
        <v>25</v>
      </c>
      <c r="E4">
        <f t="shared" si="0"/>
        <v>28</v>
      </c>
      <c r="F4">
        <f t="shared" si="0"/>
        <v>29</v>
      </c>
      <c r="G4">
        <f t="shared" si="0"/>
        <v>30</v>
      </c>
      <c r="H4">
        <f t="shared" si="0"/>
        <v>32</v>
      </c>
    </row>
    <row r="5" spans="1:11" x14ac:dyDescent="0.2">
      <c r="J5" t="s">
        <v>18</v>
      </c>
      <c r="K5" s="1">
        <v>170</v>
      </c>
    </row>
    <row r="6" spans="1:11" x14ac:dyDescent="0.2">
      <c r="A6" t="s">
        <v>28</v>
      </c>
      <c r="B6" s="1">
        <f>'Année 1'!D8</f>
        <v>4300</v>
      </c>
      <c r="C6" s="1">
        <f>'Année 1'!$D$9</f>
        <v>3500</v>
      </c>
      <c r="D6" s="1">
        <f>'Année 1'!$D$9</f>
        <v>3500</v>
      </c>
      <c r="E6" s="1">
        <f>'Année 1'!$D$9</f>
        <v>3500</v>
      </c>
      <c r="F6" s="1">
        <f>'Année 1'!$D$9</f>
        <v>3500</v>
      </c>
      <c r="G6" s="1">
        <f>'Année 1'!$D$9</f>
        <v>3500</v>
      </c>
      <c r="H6" s="1">
        <f>'Année 1'!$D$9</f>
        <v>3500</v>
      </c>
      <c r="J6" t="s">
        <v>8</v>
      </c>
      <c r="K6" s="1">
        <f>'Année 1'!B14</f>
        <v>130</v>
      </c>
    </row>
    <row r="7" spans="1:11" x14ac:dyDescent="0.2">
      <c r="A7" t="s">
        <v>29</v>
      </c>
      <c r="B7" s="1">
        <f>B2*$K$5</f>
        <v>2380</v>
      </c>
      <c r="C7" s="1">
        <f t="shared" ref="C7:H7" si="1">C2*$K$5</f>
        <v>2550</v>
      </c>
      <c r="D7" s="1">
        <f t="shared" si="1"/>
        <v>2890</v>
      </c>
      <c r="E7" s="1">
        <f t="shared" si="1"/>
        <v>3230</v>
      </c>
      <c r="F7" s="1">
        <f t="shared" si="1"/>
        <v>3400</v>
      </c>
      <c r="G7" s="1">
        <f t="shared" si="1"/>
        <v>3570</v>
      </c>
      <c r="H7" s="1">
        <f t="shared" si="1"/>
        <v>3740</v>
      </c>
      <c r="J7" t="s">
        <v>31</v>
      </c>
      <c r="K7" s="1">
        <v>350</v>
      </c>
    </row>
    <row r="8" spans="1:11" x14ac:dyDescent="0.2">
      <c r="A8" t="s">
        <v>19</v>
      </c>
      <c r="B8" s="1">
        <f>B6+B7</f>
        <v>6680</v>
      </c>
      <c r="C8" s="1">
        <f t="shared" ref="C8:H8" si="2">C6+C7</f>
        <v>6050</v>
      </c>
      <c r="D8" s="1">
        <f t="shared" si="2"/>
        <v>6390</v>
      </c>
      <c r="E8" s="1">
        <f t="shared" si="2"/>
        <v>6730</v>
      </c>
      <c r="F8" s="1">
        <f t="shared" si="2"/>
        <v>6900</v>
      </c>
      <c r="G8" s="1">
        <f t="shared" si="2"/>
        <v>7070</v>
      </c>
      <c r="H8" s="1">
        <f t="shared" si="2"/>
        <v>7240</v>
      </c>
      <c r="J8" t="s">
        <v>32</v>
      </c>
      <c r="K8" s="1">
        <v>310</v>
      </c>
    </row>
    <row r="11" spans="1:11" x14ac:dyDescent="0.2">
      <c r="A11" t="s">
        <v>9</v>
      </c>
      <c r="B11">
        <f>B2*$K7+B3*$K6</f>
        <v>5810</v>
      </c>
      <c r="C11">
        <f>C2*$K7+C3*$K6</f>
        <v>6290</v>
      </c>
      <c r="D11">
        <f t="shared" ref="D11:H11" si="3">D2*$K8+D3*$K6</f>
        <v>6310</v>
      </c>
      <c r="E11">
        <f t="shared" si="3"/>
        <v>7060</v>
      </c>
      <c r="F11">
        <f t="shared" si="3"/>
        <v>7370</v>
      </c>
      <c r="G11">
        <f t="shared" si="3"/>
        <v>7680</v>
      </c>
      <c r="H11">
        <f t="shared" si="3"/>
        <v>8120</v>
      </c>
    </row>
    <row r="13" spans="1:11" x14ac:dyDescent="0.2">
      <c r="A13" t="s">
        <v>13</v>
      </c>
      <c r="B13">
        <f>B11-B8</f>
        <v>-870</v>
      </c>
      <c r="C13">
        <f t="shared" ref="C13:H13" si="4">C11-C8</f>
        <v>240</v>
      </c>
      <c r="D13">
        <f t="shared" si="4"/>
        <v>-80</v>
      </c>
      <c r="E13">
        <f t="shared" si="4"/>
        <v>330</v>
      </c>
      <c r="F13">
        <f t="shared" si="4"/>
        <v>470</v>
      </c>
      <c r="G13">
        <f t="shared" si="4"/>
        <v>610</v>
      </c>
      <c r="H13">
        <f t="shared" si="4"/>
        <v>880</v>
      </c>
    </row>
    <row r="14" spans="1:11" x14ac:dyDescent="0.2">
      <c r="A14" t="s">
        <v>30</v>
      </c>
      <c r="B14">
        <f>800+B13+200</f>
        <v>130</v>
      </c>
      <c r="C14">
        <f>B14+C13</f>
        <v>370</v>
      </c>
      <c r="D14">
        <f t="shared" ref="D14:H14" si="5">C14+D13</f>
        <v>290</v>
      </c>
      <c r="E14">
        <f t="shared" si="5"/>
        <v>620</v>
      </c>
      <c r="F14">
        <f t="shared" si="5"/>
        <v>1090</v>
      </c>
      <c r="G14">
        <f t="shared" si="5"/>
        <v>1700</v>
      </c>
      <c r="H14">
        <f t="shared" si="5"/>
        <v>2580</v>
      </c>
    </row>
    <row r="16" spans="1:11" x14ac:dyDescent="0.2">
      <c r="B16" t="s">
        <v>33</v>
      </c>
    </row>
    <row r="17" spans="2:2" x14ac:dyDescent="0.2">
      <c r="B17" t="s">
        <v>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Année 1</vt:lpstr>
      <vt:lpstr>autres années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Auer</dc:creator>
  <cp:lastModifiedBy>Francois Auer</cp:lastModifiedBy>
  <dcterms:created xsi:type="dcterms:W3CDTF">2022-05-25T15:16:02Z</dcterms:created>
  <dcterms:modified xsi:type="dcterms:W3CDTF">2022-05-28T13:51:09Z</dcterms:modified>
</cp:coreProperties>
</file>