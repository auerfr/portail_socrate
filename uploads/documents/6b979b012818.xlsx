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C:\Users\fauer\Downloads\"/>
    </mc:Choice>
  </mc:AlternateContent>
  <xr:revisionPtr revIDLastSave="0" documentId="13_ncr:1_{F6AEFDD0-42D8-4F4E-B68C-B9E076082C07}" xr6:coauthVersionLast="36" xr6:coauthVersionMax="36" xr10:uidLastSave="{00000000-0000-0000-0000-000000000000}"/>
  <bookViews>
    <workbookView xWindow="0" yWindow="0" windowWidth="22980" windowHeight="8625" xr2:uid="{00000000-000D-0000-FFFF-FFFF00000000}"/>
  </bookViews>
  <sheets>
    <sheet name="Présences 2021 2022" sheetId="2" r:id="rId1"/>
    <sheet name="Sheet1" sheetId="3" r:id="rId2"/>
  </sheets>
  <definedNames>
    <definedName name="_xlnm._FilterDatabase" localSheetId="0" hidden="1">'Présences 2021 2022'!$A$2:$AI$27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7" i="2" l="1"/>
  <c r="AB17" i="2" s="1"/>
  <c r="AD23" i="2"/>
  <c r="Z5" i="2"/>
  <c r="AA5" i="2" s="1"/>
  <c r="Z6" i="2"/>
  <c r="AA6" i="2" s="1"/>
  <c r="Z7" i="2"/>
  <c r="AA7" i="2" s="1"/>
  <c r="Z8" i="2"/>
  <c r="AA8" i="2" s="1"/>
  <c r="Z9" i="2"/>
  <c r="AA9" i="2" s="1"/>
  <c r="Z10" i="2"/>
  <c r="AA10" i="2" s="1"/>
  <c r="Z11" i="2"/>
  <c r="AA11" i="2" s="1"/>
  <c r="Z12" i="2"/>
  <c r="AA12" i="2" s="1"/>
  <c r="Z13" i="2"/>
  <c r="AA13" i="2" s="1"/>
  <c r="Z14" i="2"/>
  <c r="AA14" i="2" s="1"/>
  <c r="Z15" i="2"/>
  <c r="AA15" i="2" s="1"/>
  <c r="Z16" i="2"/>
  <c r="AA16" i="2" s="1"/>
  <c r="Z18" i="2"/>
  <c r="AA18" i="2" s="1"/>
  <c r="Z19" i="2"/>
  <c r="AA19" i="2" s="1"/>
  <c r="Z21" i="2"/>
  <c r="AA21" i="2" s="1"/>
  <c r="Z22" i="2"/>
  <c r="AA22" i="2" s="1"/>
  <c r="Z23" i="2"/>
  <c r="AA23" i="2" s="1"/>
  <c r="Z24" i="2"/>
  <c r="AA24" i="2" s="1"/>
  <c r="Z25" i="2"/>
  <c r="AA25" i="2" s="1"/>
  <c r="Z26" i="2"/>
  <c r="AD26" i="2" s="1"/>
  <c r="Z27" i="2"/>
  <c r="AA27" i="2" s="1"/>
  <c r="Z4" i="2"/>
  <c r="AC4" i="2" s="1"/>
  <c r="D46" i="2"/>
  <c r="D45" i="2"/>
  <c r="D44" i="2"/>
  <c r="AA1" i="2"/>
  <c r="Z2" i="2"/>
  <c r="W30" i="2"/>
  <c r="X30" i="2"/>
  <c r="W31" i="2"/>
  <c r="X31" i="2"/>
  <c r="W32" i="2"/>
  <c r="X32" i="2"/>
  <c r="W33" i="2"/>
  <c r="X33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E33" i="2"/>
  <c r="E32" i="2"/>
  <c r="E31" i="2"/>
  <c r="E30" i="2"/>
  <c r="AD17" i="2" l="1"/>
  <c r="AA17" i="2"/>
  <c r="AC17" i="2"/>
  <c r="AE17" i="2" s="1"/>
  <c r="AF17" i="2" s="1"/>
  <c r="AC26" i="2"/>
  <c r="AA4" i="2"/>
  <c r="AB4" i="2"/>
  <c r="AE4" i="2" s="1"/>
  <c r="AD4" i="2"/>
  <c r="AC27" i="2"/>
  <c r="AB26" i="2"/>
  <c r="AA26" i="2"/>
  <c r="AC23" i="2"/>
  <c r="AC16" i="2"/>
  <c r="AB16" i="2"/>
  <c r="AC15" i="2"/>
  <c r="AC12" i="2"/>
  <c r="AD16" i="2"/>
  <c r="AD12" i="2"/>
  <c r="AD8" i="2"/>
  <c r="AC8" i="2"/>
  <c r="AB23" i="2"/>
  <c r="AB12" i="2"/>
  <c r="AB8" i="2"/>
  <c r="AD22" i="2"/>
  <c r="AD19" i="2"/>
  <c r="AD15" i="2"/>
  <c r="AD11" i="2"/>
  <c r="AD7" i="2"/>
  <c r="AC22" i="2"/>
  <c r="AC19" i="2"/>
  <c r="AC11" i="2"/>
  <c r="AC7" i="2"/>
  <c r="AB22" i="2"/>
  <c r="AB19" i="2"/>
  <c r="AB15" i="2"/>
  <c r="AB11" i="2"/>
  <c r="AB7" i="2"/>
  <c r="AD25" i="2"/>
  <c r="AD21" i="2"/>
  <c r="AD14" i="2"/>
  <c r="AD10" i="2"/>
  <c r="AD6" i="2"/>
  <c r="AC25" i="2"/>
  <c r="AC21" i="2"/>
  <c r="AC14" i="2"/>
  <c r="AC10" i="2"/>
  <c r="AC6" i="2"/>
  <c r="AB25" i="2"/>
  <c r="AB21" i="2"/>
  <c r="AB14" i="2"/>
  <c r="AB10" i="2"/>
  <c r="AB6" i="2"/>
  <c r="AD27" i="2"/>
  <c r="AD24" i="2"/>
  <c r="AD18" i="2"/>
  <c r="AD13" i="2"/>
  <c r="AD9" i="2"/>
  <c r="AD5" i="2"/>
  <c r="AC24" i="2"/>
  <c r="AC18" i="2"/>
  <c r="AC13" i="2"/>
  <c r="AC9" i="2"/>
  <c r="AC5" i="2"/>
  <c r="AB27" i="2"/>
  <c r="AB24" i="2"/>
  <c r="AB18" i="2"/>
  <c r="AB13" i="2"/>
  <c r="AB9" i="2"/>
  <c r="AB5" i="2"/>
  <c r="U29" i="2"/>
  <c r="U36" i="2" s="1"/>
  <c r="V29" i="2"/>
  <c r="V42" i="2" s="1"/>
  <c r="X29" i="2"/>
  <c r="X36" i="2" s="1"/>
  <c r="L29" i="2"/>
  <c r="L35" i="2" s="1"/>
  <c r="R29" i="2"/>
  <c r="R38" i="2" s="1"/>
  <c r="T29" i="2"/>
  <c r="T37" i="2" s="1"/>
  <c r="Q29" i="2"/>
  <c r="Q36" i="2" s="1"/>
  <c r="O29" i="2"/>
  <c r="O35" i="2" s="1"/>
  <c r="N29" i="2"/>
  <c r="N35" i="2" s="1"/>
  <c r="M29" i="2"/>
  <c r="M35" i="2" s="1"/>
  <c r="K29" i="2"/>
  <c r="K38" i="2" s="1"/>
  <c r="J29" i="2"/>
  <c r="J41" i="2" s="1"/>
  <c r="I29" i="2"/>
  <c r="I37" i="2" s="1"/>
  <c r="W29" i="2"/>
  <c r="W36" i="2" s="1"/>
  <c r="S29" i="2"/>
  <c r="S37" i="2" s="1"/>
  <c r="P29" i="2"/>
  <c r="P35" i="2" s="1"/>
  <c r="H29" i="2"/>
  <c r="H35" i="2" s="1"/>
  <c r="G29" i="2"/>
  <c r="G36" i="2" s="1"/>
  <c r="F29" i="2"/>
  <c r="F36" i="2" s="1"/>
  <c r="E29" i="2"/>
  <c r="E35" i="2" s="1"/>
  <c r="AE22" i="2" l="1"/>
  <c r="AF22" i="2" s="1"/>
  <c r="AE19" i="2"/>
  <c r="AF19" i="2" s="1"/>
  <c r="AE8" i="2"/>
  <c r="AF8" i="2" s="1"/>
  <c r="AE11" i="2"/>
  <c r="AE23" i="2"/>
  <c r="AE26" i="2"/>
  <c r="AF26" i="2" s="1"/>
  <c r="AE27" i="2"/>
  <c r="AF27" i="2" s="1"/>
  <c r="AE16" i="2"/>
  <c r="AF16" i="2" s="1"/>
  <c r="AE15" i="2"/>
  <c r="AE24" i="2"/>
  <c r="AE7" i="2"/>
  <c r="AE6" i="2"/>
  <c r="AF6" i="2" s="1"/>
  <c r="AE10" i="2"/>
  <c r="AE12" i="2"/>
  <c r="AE5" i="2"/>
  <c r="AE9" i="2"/>
  <c r="AF9" i="2" s="1"/>
  <c r="AE14" i="2"/>
  <c r="AF14" i="2" s="1"/>
  <c r="AE21" i="2"/>
  <c r="AE25" i="2"/>
  <c r="AE13" i="2"/>
  <c r="AE18" i="2"/>
  <c r="U35" i="2"/>
  <c r="U42" i="2"/>
  <c r="X35" i="2"/>
  <c r="U37" i="2"/>
  <c r="T36" i="2"/>
  <c r="U38" i="2"/>
  <c r="X38" i="2"/>
  <c r="V37" i="2"/>
  <c r="X42" i="2"/>
  <c r="U41" i="2"/>
  <c r="V41" i="2"/>
  <c r="X41" i="2"/>
  <c r="W37" i="2"/>
  <c r="L42" i="2"/>
  <c r="X37" i="2"/>
  <c r="T38" i="2"/>
  <c r="T42" i="2"/>
  <c r="T41" i="2"/>
  <c r="W38" i="2"/>
  <c r="P41" i="2"/>
  <c r="W41" i="2"/>
  <c r="W42" i="2"/>
  <c r="S35" i="2"/>
  <c r="W35" i="2"/>
  <c r="H38" i="2"/>
  <c r="H41" i="2"/>
  <c r="R36" i="2"/>
  <c r="N37" i="2"/>
  <c r="L38" i="2"/>
  <c r="L41" i="2"/>
  <c r="V38" i="2"/>
  <c r="F37" i="2"/>
  <c r="V36" i="2"/>
  <c r="V35" i="2"/>
  <c r="F35" i="2"/>
  <c r="G41" i="2"/>
  <c r="G38" i="2"/>
  <c r="Q37" i="2"/>
  <c r="Q42" i="2"/>
  <c r="G37" i="2"/>
  <c r="R41" i="2"/>
  <c r="L36" i="2"/>
  <c r="L37" i="2"/>
  <c r="H42" i="2"/>
  <c r="Q38" i="2"/>
  <c r="O36" i="2"/>
  <c r="P42" i="2"/>
  <c r="K41" i="2"/>
  <c r="O42" i="2"/>
  <c r="S38" i="2"/>
  <c r="S41" i="2"/>
  <c r="Q35" i="2"/>
  <c r="Q41" i="2"/>
  <c r="O41" i="2"/>
  <c r="O37" i="2"/>
  <c r="I36" i="2"/>
  <c r="K36" i="2"/>
  <c r="I42" i="2"/>
  <c r="I41" i="2"/>
  <c r="I38" i="2"/>
  <c r="J38" i="2"/>
  <c r="K42" i="2"/>
  <c r="H37" i="2"/>
  <c r="J36" i="2"/>
  <c r="K37" i="2"/>
  <c r="I35" i="2"/>
  <c r="J42" i="2"/>
  <c r="J35" i="2"/>
  <c r="K35" i="2"/>
  <c r="M41" i="2"/>
  <c r="M38" i="2"/>
  <c r="S42" i="2"/>
  <c r="M42" i="2"/>
  <c r="P36" i="2"/>
  <c r="N38" i="2"/>
  <c r="R35" i="2"/>
  <c r="N41" i="2"/>
  <c r="P37" i="2"/>
  <c r="P38" i="2"/>
  <c r="N42" i="2"/>
  <c r="M36" i="2"/>
  <c r="N36" i="2"/>
  <c r="S36" i="2"/>
  <c r="M37" i="2"/>
  <c r="J37" i="2"/>
  <c r="O38" i="2"/>
  <c r="R37" i="2"/>
  <c r="R42" i="2"/>
  <c r="T35" i="2"/>
  <c r="H36" i="2"/>
  <c r="G35" i="2"/>
  <c r="G42" i="2"/>
  <c r="F41" i="2"/>
  <c r="F42" i="2"/>
  <c r="F38" i="2"/>
  <c r="E37" i="2"/>
  <c r="E41" i="2"/>
  <c r="E38" i="2"/>
  <c r="E42" i="2"/>
  <c r="E36" i="2"/>
</calcChain>
</file>

<file path=xl/sharedStrings.xml><?xml version="1.0" encoding="utf-8"?>
<sst xmlns="http://schemas.openxmlformats.org/spreadsheetml/2006/main" count="187" uniqueCount="73">
  <si>
    <t>FAIVRE Alain</t>
  </si>
  <si>
    <t>Nom/ Tenue effectuée</t>
  </si>
  <si>
    <t>Excusé</t>
  </si>
  <si>
    <t>Absent</t>
  </si>
  <si>
    <t>Présent</t>
  </si>
  <si>
    <t>84 ter</t>
  </si>
  <si>
    <t>Dispensé</t>
  </si>
  <si>
    <t>OUI</t>
  </si>
  <si>
    <t>Grade requis pour tenue</t>
  </si>
  <si>
    <t xml:space="preserve">App∴ </t>
  </si>
  <si>
    <t xml:space="preserve">M∴ </t>
  </si>
  <si>
    <t>Nb Present</t>
  </si>
  <si>
    <t>Nb Excusés</t>
  </si>
  <si>
    <t>Nb Absents</t>
  </si>
  <si>
    <t>Nb Dispensé</t>
  </si>
  <si>
    <t>Total</t>
  </si>
  <si>
    <t>% Present</t>
  </si>
  <si>
    <t>% Dispensé</t>
  </si>
  <si>
    <t>% Presence sans dispensé</t>
  </si>
  <si>
    <t>% Absence et excusé sans dispensé</t>
  </si>
  <si>
    <t>% Absents</t>
  </si>
  <si>
    <t>% Excusés</t>
  </si>
  <si>
    <t>Nb tenues</t>
  </si>
  <si>
    <t>% presence</t>
  </si>
  <si>
    <t>%absence</t>
  </si>
  <si>
    <t>%excuse</t>
  </si>
  <si>
    <t>%dispense</t>
  </si>
  <si>
    <t xml:space="preserve">Grade </t>
  </si>
  <si>
    <t>Nb App</t>
  </si>
  <si>
    <t>Nb Comp</t>
  </si>
  <si>
    <t>Nb M</t>
  </si>
  <si>
    <t>% abs+exc</t>
  </si>
  <si>
    <t>OFF</t>
  </si>
  <si>
    <t>Couv</t>
  </si>
  <si>
    <t>A /  E OFFIC</t>
  </si>
  <si>
    <t>VM</t>
  </si>
  <si>
    <t>Tres</t>
  </si>
  <si>
    <t>P</t>
  </si>
  <si>
    <t>E</t>
  </si>
  <si>
    <t>X</t>
  </si>
  <si>
    <t>Disp</t>
  </si>
  <si>
    <t>x</t>
  </si>
  <si>
    <t>AGNOUNA ONANA Alphonse</t>
  </si>
  <si>
    <t>AUER François Régis</t>
  </si>
  <si>
    <t>BUR Patrick</t>
  </si>
  <si>
    <t>Butterlin Christophe</t>
  </si>
  <si>
    <t>Cadona Alain</t>
  </si>
  <si>
    <t>CHANSON Claire</t>
  </si>
  <si>
    <t>CORNELISE Claire</t>
  </si>
  <si>
    <t>Dangoumau Tristan</t>
  </si>
  <si>
    <t>Dardenne Gilles</t>
  </si>
  <si>
    <t>DEL VECCHIO Jean Pierre</t>
  </si>
  <si>
    <t>DILLENSCHNEIDER Michel</t>
  </si>
  <si>
    <t>DUBOIS Jean-Luc</t>
  </si>
  <si>
    <t>Dupont Nicolas</t>
  </si>
  <si>
    <t>Guerné Dominique</t>
  </si>
  <si>
    <t>Ibba Jean marc</t>
  </si>
  <si>
    <t>Klein Thomas</t>
  </si>
  <si>
    <t>LEBOSSÉ Cédric</t>
  </si>
  <si>
    <t>luzerne Christian</t>
  </si>
  <si>
    <t>POIAREZ Jean Claude</t>
  </si>
  <si>
    <t>REYTER grégory</t>
  </si>
  <si>
    <t>ROCHE  Dominique</t>
  </si>
  <si>
    <t>SUSSET Valérie</t>
  </si>
  <si>
    <t>TRUFFERT Ariane</t>
  </si>
  <si>
    <t>MDC</t>
  </si>
  <si>
    <t>Exp</t>
  </si>
  <si>
    <t>2Nd S</t>
  </si>
  <si>
    <t>Or</t>
  </si>
  <si>
    <t>1er S</t>
  </si>
  <si>
    <t>Harm</t>
  </si>
  <si>
    <t>Hosp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</si>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</sst>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1" applyNumberFormat="1" applyFont="1"/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2" xfId="1" applyNumberFormat="1" applyFont="1" applyBorder="1"/>
    <xf numFmtId="0" fontId="0" fillId="0" borderId="0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center"/>
    </xf>
    <xf numFmtId="15" fontId="0" fillId="0" borderId="3" xfId="0" applyNumberFormat="1" applyBorder="1" applyAlignment="1">
      <alignment textRotation="45"/>
    </xf>
    <xf numFmtId="15" fontId="0" fillId="0" borderId="4" xfId="0" applyNumberFormat="1" applyBorder="1" applyAlignment="1">
      <alignment textRotation="45"/>
    </xf>
    <xf numFmtId="15" fontId="0" fillId="0" borderId="5" xfId="0" applyNumberFormat="1" applyBorder="1" applyAlignment="1">
      <alignment textRotation="45"/>
    </xf>
    <xf numFmtId="0" fontId="0" fillId="0" borderId="6" xfId="0" applyBorder="1"/>
    <xf numFmtId="0" fontId="0" fillId="0" borderId="7" xfId="0" applyBorder="1"/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4" borderId="7" xfId="0" applyFill="1" applyBorder="1"/>
    <xf numFmtId="0" fontId="5" fillId="5" borderId="0" xfId="0" applyFont="1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"/>
  <sheetViews>
    <sheetView tabSelected="1" zoomScale="86" zoomScaleNormal="86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N11" sqref="N11"/>
    </sheetView>
  </sheetViews>
  <sheetFormatPr defaultColWidth="11" defaultRowHeight="15.75" x14ac:dyDescent="0.25"/>
  <cols>
    <col min="1" max="1" width="6.5" customWidth="1"/>
    <col min="2" max="2" width="5.25" customWidth="1"/>
    <col min="3" max="3" width="30.125" bestFit="1" customWidth="1"/>
    <col min="4" max="4" width="8.5" bestFit="1" customWidth="1"/>
    <col min="5" max="6" width="7.625" bestFit="1" customWidth="1"/>
    <col min="7" max="7" width="8.5" bestFit="1" customWidth="1"/>
    <col min="8" max="12" width="7.625" bestFit="1" customWidth="1"/>
    <col min="13" max="13" width="9" customWidth="1"/>
    <col min="14" max="24" width="8.375" bestFit="1" customWidth="1"/>
    <col min="25" max="25" width="4.375" customWidth="1"/>
    <col min="26" max="26" width="10.125" customWidth="1"/>
    <col min="27" max="27" width="12.375" customWidth="1"/>
    <col min="28" max="28" width="9.375" bestFit="1" customWidth="1"/>
    <col min="29" max="29" width="8.125" bestFit="1" customWidth="1"/>
    <col min="30" max="30" width="9.875" bestFit="1" customWidth="1"/>
    <col min="32" max="32" width="11" style="15"/>
    <col min="35" max="35" width="7.375" bestFit="1" customWidth="1"/>
  </cols>
  <sheetData>
    <row r="1" spans="1:35" ht="48.75" thickBot="1" x14ac:dyDescent="0.75">
      <c r="E1" s="19">
        <v>44931</v>
      </c>
      <c r="F1" s="20">
        <v>44944</v>
      </c>
      <c r="G1" s="19">
        <v>44962</v>
      </c>
      <c r="H1" s="20">
        <v>44975</v>
      </c>
      <c r="I1" s="19"/>
      <c r="J1" s="20"/>
      <c r="K1" s="19"/>
      <c r="L1" s="20"/>
      <c r="M1" s="19"/>
      <c r="N1" s="20"/>
      <c r="O1" s="19"/>
      <c r="P1" s="20"/>
      <c r="Q1" s="19"/>
      <c r="R1" s="20"/>
      <c r="S1" s="19"/>
      <c r="T1" s="20"/>
      <c r="U1" s="19"/>
      <c r="V1" s="21"/>
      <c r="W1" s="19"/>
      <c r="X1" s="20"/>
      <c r="Z1" t="s">
        <v>22</v>
      </c>
      <c r="AA1" s="3">
        <f>COUNTIF(E2:X2,"X")</f>
        <v>3</v>
      </c>
      <c r="AF1" s="15" t="s">
        <v>34</v>
      </c>
    </row>
    <row r="2" spans="1:35" ht="18.75" x14ac:dyDescent="0.25">
      <c r="A2" t="s">
        <v>32</v>
      </c>
      <c r="B2" t="s">
        <v>6</v>
      </c>
      <c r="C2" s="2" t="s">
        <v>1</v>
      </c>
      <c r="D2" t="s">
        <v>27</v>
      </c>
      <c r="E2" s="27" t="s">
        <v>39</v>
      </c>
      <c r="F2" s="27" t="s">
        <v>41</v>
      </c>
      <c r="G2" s="27" t="s">
        <v>39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Z2">
        <f>COUNTIF(E2:X2,"X")</f>
        <v>3</v>
      </c>
      <c r="AA2" t="s">
        <v>23</v>
      </c>
      <c r="AB2" t="s">
        <v>24</v>
      </c>
      <c r="AC2" t="s">
        <v>25</v>
      </c>
      <c r="AD2" t="s">
        <v>26</v>
      </c>
      <c r="AE2" t="s">
        <v>31</v>
      </c>
      <c r="AI2" t="s">
        <v>2</v>
      </c>
    </row>
    <row r="3" spans="1:35" ht="16.5" thickBot="1" x14ac:dyDescent="0.3">
      <c r="C3" s="2" t="s">
        <v>8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</row>
    <row r="4" spans="1:35" x14ac:dyDescent="0.25">
      <c r="C4" s="22" t="s">
        <v>42</v>
      </c>
      <c r="D4" t="s">
        <v>10</v>
      </c>
      <c r="E4" s="28" t="s">
        <v>38</v>
      </c>
      <c r="F4" s="28" t="s">
        <v>38</v>
      </c>
      <c r="G4" s="28" t="s">
        <v>37</v>
      </c>
      <c r="H4" s="28"/>
      <c r="I4" s="28"/>
      <c r="J4" s="29"/>
      <c r="K4" s="28"/>
      <c r="L4" s="29"/>
      <c r="M4" s="28"/>
      <c r="N4" s="29"/>
      <c r="O4" s="28"/>
      <c r="P4" s="29"/>
      <c r="Q4" s="28"/>
      <c r="R4" s="29"/>
      <c r="S4" s="28"/>
      <c r="T4" s="29"/>
      <c r="U4" s="28"/>
      <c r="V4" s="29"/>
      <c r="W4" s="28"/>
      <c r="X4" s="29"/>
      <c r="Z4" s="5">
        <f>COUNTA(E4:X4)</f>
        <v>3</v>
      </c>
      <c r="AA4" s="8">
        <f>COUNTIF($E4:$X4,"P")/Z4</f>
        <v>0.33333333333333331</v>
      </c>
      <c r="AB4" s="8">
        <f>COUNTIF($E4:$X4,"A")/Z4</f>
        <v>0</v>
      </c>
      <c r="AC4" s="8">
        <f>COUNTIF($E4:$X4,"E")/Z4</f>
        <v>0.66666666666666663</v>
      </c>
      <c r="AD4" s="8">
        <f>IF(B4&lt;&gt;"OUI",COUNTIF($E4:$X4,"Disp")/Z4,1)</f>
        <v>0</v>
      </c>
      <c r="AE4" s="18">
        <f>AB4+AC4</f>
        <v>0.66666666666666663</v>
      </c>
      <c r="AF4" s="5"/>
      <c r="AI4" t="s">
        <v>3</v>
      </c>
    </row>
    <row r="5" spans="1:35" x14ac:dyDescent="0.25">
      <c r="A5" s="32" t="s">
        <v>35</v>
      </c>
      <c r="C5" s="23" t="s">
        <v>43</v>
      </c>
      <c r="D5" t="s">
        <v>10</v>
      </c>
      <c r="E5" s="30" t="s">
        <v>37</v>
      </c>
      <c r="F5" s="30" t="s">
        <v>37</v>
      </c>
      <c r="G5" s="30" t="s">
        <v>37</v>
      </c>
      <c r="H5" s="30"/>
      <c r="I5" s="30"/>
      <c r="J5" s="31"/>
      <c r="K5" s="30"/>
      <c r="L5" s="31"/>
      <c r="M5" s="30"/>
      <c r="N5" s="31"/>
      <c r="O5" s="30"/>
      <c r="P5" s="31"/>
      <c r="Q5" s="30"/>
      <c r="R5" s="31"/>
      <c r="S5" s="30"/>
      <c r="T5" s="31"/>
      <c r="U5" s="30"/>
      <c r="V5" s="31"/>
      <c r="W5" s="30"/>
      <c r="X5" s="31"/>
      <c r="Z5" s="5">
        <f t="shared" ref="Z5:Z27" si="0">COUNTA(E5:X5)</f>
        <v>3</v>
      </c>
      <c r="AA5" s="8">
        <f t="shared" ref="AA5:AA27" si="1">COUNTIF($E5:$X5,"P")/Z5</f>
        <v>1</v>
      </c>
      <c r="AB5" s="8">
        <f t="shared" ref="AB5:AB27" si="2">COUNTIF($E5:$X5,"A")/Z5</f>
        <v>0</v>
      </c>
      <c r="AC5" s="8">
        <f t="shared" ref="AC5:AC27" si="3">COUNTIF($E5:$X5,"E")/Z5</f>
        <v>0</v>
      </c>
      <c r="AD5" s="8">
        <f t="shared" ref="AD5:AD27" si="4">IF(B5&lt;&gt;"OUI",COUNTIF($E5:$X5,"Disp")/Z5,1)</f>
        <v>0</v>
      </c>
      <c r="AE5" s="18">
        <f t="shared" ref="AE5:AE27" si="5">AB5+AC5</f>
        <v>0</v>
      </c>
      <c r="AF5" s="5"/>
      <c r="AI5" t="s">
        <v>4</v>
      </c>
    </row>
    <row r="6" spans="1:35" x14ac:dyDescent="0.25">
      <c r="A6" s="32"/>
      <c r="C6" s="23" t="s">
        <v>44</v>
      </c>
      <c r="D6" t="s">
        <v>10</v>
      </c>
      <c r="E6" s="30" t="s">
        <v>40</v>
      </c>
      <c r="F6" s="30" t="s">
        <v>37</v>
      </c>
      <c r="G6" s="30" t="s">
        <v>40</v>
      </c>
      <c r="H6" s="30"/>
      <c r="I6" s="30"/>
      <c r="J6" s="31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Z6" s="5">
        <f t="shared" si="0"/>
        <v>3</v>
      </c>
      <c r="AA6" s="8">
        <f t="shared" si="1"/>
        <v>0.33333333333333331</v>
      </c>
      <c r="AB6" s="8">
        <f t="shared" si="2"/>
        <v>0</v>
      </c>
      <c r="AC6" s="8">
        <f t="shared" si="3"/>
        <v>0</v>
      </c>
      <c r="AD6" s="8">
        <f t="shared" si="4"/>
        <v>0.66666666666666663</v>
      </c>
      <c r="AE6" s="18">
        <f t="shared" si="5"/>
        <v>0</v>
      </c>
      <c r="AF6" s="18">
        <f>AE6</f>
        <v>0</v>
      </c>
      <c r="AI6" t="s">
        <v>5</v>
      </c>
    </row>
    <row r="7" spans="1:35" x14ac:dyDescent="0.25">
      <c r="A7" s="32"/>
      <c r="C7" s="23" t="s">
        <v>45</v>
      </c>
      <c r="D7" t="s">
        <v>10</v>
      </c>
      <c r="E7" s="30" t="s">
        <v>37</v>
      </c>
      <c r="F7" s="30" t="s">
        <v>37</v>
      </c>
      <c r="G7" s="30" t="s">
        <v>37</v>
      </c>
      <c r="H7" s="30"/>
      <c r="I7" s="30"/>
      <c r="J7" s="31"/>
      <c r="K7" s="30"/>
      <c r="L7" s="31"/>
      <c r="M7" s="30"/>
      <c r="N7" s="31"/>
      <c r="O7" s="30"/>
      <c r="P7" s="31"/>
      <c r="Q7" s="30"/>
      <c r="R7" s="31"/>
      <c r="S7" s="30"/>
      <c r="T7" s="31"/>
      <c r="U7" s="30"/>
      <c r="V7" s="31"/>
      <c r="W7" s="30"/>
      <c r="X7" s="31"/>
      <c r="Z7" s="5">
        <f t="shared" si="0"/>
        <v>3</v>
      </c>
      <c r="AA7" s="8">
        <f t="shared" si="1"/>
        <v>1</v>
      </c>
      <c r="AB7" s="8">
        <f t="shared" si="2"/>
        <v>0</v>
      </c>
      <c r="AC7" s="8">
        <f t="shared" si="3"/>
        <v>0</v>
      </c>
      <c r="AD7" s="8">
        <f t="shared" si="4"/>
        <v>0</v>
      </c>
      <c r="AE7" s="18">
        <f t="shared" si="5"/>
        <v>0</v>
      </c>
      <c r="AF7" s="5"/>
    </row>
    <row r="8" spans="1:35" x14ac:dyDescent="0.25">
      <c r="A8" s="32"/>
      <c r="C8" s="23" t="s">
        <v>46</v>
      </c>
      <c r="D8" t="s">
        <v>10</v>
      </c>
      <c r="E8" s="30" t="s">
        <v>37</v>
      </c>
      <c r="F8" s="30" t="s">
        <v>37</v>
      </c>
      <c r="G8" s="30" t="s">
        <v>38</v>
      </c>
      <c r="H8" s="30"/>
      <c r="I8" s="30"/>
      <c r="J8" s="31"/>
      <c r="K8" s="30"/>
      <c r="L8" s="31"/>
      <c r="M8" s="30"/>
      <c r="N8" s="31"/>
      <c r="O8" s="30"/>
      <c r="P8" s="31"/>
      <c r="Q8" s="30"/>
      <c r="R8" s="31"/>
      <c r="S8" s="30"/>
      <c r="T8" s="31"/>
      <c r="U8" s="30"/>
      <c r="V8" s="31"/>
      <c r="W8" s="30"/>
      <c r="X8" s="31"/>
      <c r="Z8" s="5">
        <f t="shared" si="0"/>
        <v>3</v>
      </c>
      <c r="AA8" s="8">
        <f t="shared" si="1"/>
        <v>0.66666666666666663</v>
      </c>
      <c r="AB8" s="8">
        <f t="shared" si="2"/>
        <v>0</v>
      </c>
      <c r="AC8" s="8">
        <f t="shared" si="3"/>
        <v>0.33333333333333331</v>
      </c>
      <c r="AD8" s="8">
        <f t="shared" si="4"/>
        <v>0</v>
      </c>
      <c r="AE8" s="18">
        <f t="shared" si="5"/>
        <v>0.33333333333333331</v>
      </c>
      <c r="AF8" s="18">
        <f t="shared" ref="AF8:AF9" si="6">AE8</f>
        <v>0.33333333333333331</v>
      </c>
    </row>
    <row r="9" spans="1:35" x14ac:dyDescent="0.25">
      <c r="A9" s="32" t="s">
        <v>65</v>
      </c>
      <c r="C9" s="23" t="s">
        <v>47</v>
      </c>
      <c r="D9" t="s">
        <v>10</v>
      </c>
      <c r="E9" s="30" t="s">
        <v>37</v>
      </c>
      <c r="F9" s="30" t="s">
        <v>37</v>
      </c>
      <c r="G9" s="30" t="s">
        <v>37</v>
      </c>
      <c r="H9" s="30"/>
      <c r="I9" s="30"/>
      <c r="J9" s="31"/>
      <c r="K9" s="30"/>
      <c r="L9" s="31"/>
      <c r="M9" s="30"/>
      <c r="N9" s="31"/>
      <c r="O9" s="30"/>
      <c r="P9" s="31"/>
      <c r="Q9" s="30"/>
      <c r="R9" s="31"/>
      <c r="S9" s="30"/>
      <c r="T9" s="31"/>
      <c r="U9" s="30"/>
      <c r="V9" s="31"/>
      <c r="W9" s="30"/>
      <c r="X9" s="31"/>
      <c r="Z9" s="5">
        <f t="shared" si="0"/>
        <v>3</v>
      </c>
      <c r="AA9" s="8">
        <f t="shared" si="1"/>
        <v>1</v>
      </c>
      <c r="AB9" s="8">
        <f t="shared" si="2"/>
        <v>0</v>
      </c>
      <c r="AC9" s="8">
        <f t="shared" si="3"/>
        <v>0</v>
      </c>
      <c r="AD9" s="8">
        <f t="shared" si="4"/>
        <v>0</v>
      </c>
      <c r="AE9" s="18">
        <f t="shared" si="5"/>
        <v>0</v>
      </c>
      <c r="AF9" s="18">
        <f t="shared" si="6"/>
        <v>0</v>
      </c>
    </row>
    <row r="10" spans="1:35" x14ac:dyDescent="0.25">
      <c r="A10" s="32"/>
      <c r="C10" s="23" t="s">
        <v>48</v>
      </c>
      <c r="D10" t="s">
        <v>10</v>
      </c>
      <c r="E10" s="30" t="s">
        <v>37</v>
      </c>
      <c r="F10" s="30" t="s">
        <v>37</v>
      </c>
      <c r="G10" s="30" t="s">
        <v>37</v>
      </c>
      <c r="H10" s="30"/>
      <c r="I10" s="30"/>
      <c r="J10" s="31"/>
      <c r="K10" s="30"/>
      <c r="L10" s="31"/>
      <c r="M10" s="30"/>
      <c r="N10" s="31"/>
      <c r="O10" s="30"/>
      <c r="P10" s="31"/>
      <c r="Q10" s="30"/>
      <c r="R10" s="31"/>
      <c r="S10" s="30"/>
      <c r="T10" s="31"/>
      <c r="U10" s="30"/>
      <c r="V10" s="31"/>
      <c r="W10" s="30"/>
      <c r="X10" s="31"/>
      <c r="Z10" s="5">
        <f t="shared" si="0"/>
        <v>3</v>
      </c>
      <c r="AA10" s="8">
        <f t="shared" si="1"/>
        <v>1</v>
      </c>
      <c r="AB10" s="8">
        <f t="shared" si="2"/>
        <v>0</v>
      </c>
      <c r="AC10" s="8">
        <f t="shared" si="3"/>
        <v>0</v>
      </c>
      <c r="AD10" s="8">
        <f t="shared" si="4"/>
        <v>0</v>
      </c>
      <c r="AE10" s="18">
        <f t="shared" si="5"/>
        <v>0</v>
      </c>
      <c r="AF10" s="5"/>
    </row>
    <row r="11" spans="1:35" x14ac:dyDescent="0.25">
      <c r="A11" s="32" t="s">
        <v>66</v>
      </c>
      <c r="C11" s="23" t="s">
        <v>49</v>
      </c>
      <c r="D11" t="s">
        <v>10</v>
      </c>
      <c r="E11" s="30" t="s">
        <v>37</v>
      </c>
      <c r="F11" s="30" t="s">
        <v>38</v>
      </c>
      <c r="G11" s="30" t="s">
        <v>37</v>
      </c>
      <c r="H11" s="30"/>
      <c r="I11" s="30"/>
      <c r="J11" s="31"/>
      <c r="K11" s="30"/>
      <c r="L11" s="31"/>
      <c r="M11" s="30"/>
      <c r="N11" s="31"/>
      <c r="O11" s="30"/>
      <c r="P11" s="31"/>
      <c r="Q11" s="30"/>
      <c r="R11" s="31"/>
      <c r="S11" s="30"/>
      <c r="T11" s="31"/>
      <c r="U11" s="30"/>
      <c r="V11" s="31"/>
      <c r="W11" s="30"/>
      <c r="X11" s="31"/>
      <c r="Z11" s="5">
        <f t="shared" si="0"/>
        <v>3</v>
      </c>
      <c r="AA11" s="8">
        <f t="shared" si="1"/>
        <v>0.66666666666666663</v>
      </c>
      <c r="AB11" s="8">
        <f t="shared" si="2"/>
        <v>0</v>
      </c>
      <c r="AC11" s="8">
        <f t="shared" si="3"/>
        <v>0.33333333333333331</v>
      </c>
      <c r="AD11" s="8">
        <f t="shared" si="4"/>
        <v>0</v>
      </c>
      <c r="AE11" s="18">
        <f t="shared" si="5"/>
        <v>0.33333333333333331</v>
      </c>
      <c r="AF11" s="5"/>
    </row>
    <row r="12" spans="1:35" x14ac:dyDescent="0.25">
      <c r="A12" s="32"/>
      <c r="C12" s="23" t="s">
        <v>50</v>
      </c>
      <c r="D12" t="s">
        <v>10</v>
      </c>
      <c r="E12" s="30" t="s">
        <v>37</v>
      </c>
      <c r="F12" s="30" t="s">
        <v>37</v>
      </c>
      <c r="G12" s="30" t="s">
        <v>37</v>
      </c>
      <c r="H12" s="30"/>
      <c r="I12" s="30"/>
      <c r="J12" s="31"/>
      <c r="K12" s="30"/>
      <c r="L12" s="31"/>
      <c r="M12" s="30"/>
      <c r="N12" s="31"/>
      <c r="O12" s="30"/>
      <c r="P12" s="31"/>
      <c r="Q12" s="30"/>
      <c r="R12" s="31"/>
      <c r="S12" s="30"/>
      <c r="T12" s="31"/>
      <c r="U12" s="30"/>
      <c r="V12" s="31"/>
      <c r="W12" s="30"/>
      <c r="X12" s="31"/>
      <c r="Z12" s="5">
        <f t="shared" si="0"/>
        <v>3</v>
      </c>
      <c r="AA12" s="8">
        <f t="shared" si="1"/>
        <v>1</v>
      </c>
      <c r="AB12" s="8">
        <f t="shared" si="2"/>
        <v>0</v>
      </c>
      <c r="AC12" s="8">
        <f t="shared" si="3"/>
        <v>0</v>
      </c>
      <c r="AD12" s="8">
        <f t="shared" si="4"/>
        <v>0</v>
      </c>
      <c r="AE12" s="18">
        <f t="shared" si="5"/>
        <v>0</v>
      </c>
      <c r="AF12" s="5"/>
    </row>
    <row r="13" spans="1:35" x14ac:dyDescent="0.25">
      <c r="A13" s="32"/>
      <c r="C13" s="23" t="s">
        <v>51</v>
      </c>
      <c r="D13" t="s">
        <v>10</v>
      </c>
      <c r="E13" s="30" t="s">
        <v>37</v>
      </c>
      <c r="F13" s="30" t="s">
        <v>37</v>
      </c>
      <c r="G13" s="30" t="s">
        <v>37</v>
      </c>
      <c r="H13" s="30"/>
      <c r="I13" s="30"/>
      <c r="J13" s="31"/>
      <c r="K13" s="30"/>
      <c r="L13" s="31"/>
      <c r="M13" s="30"/>
      <c r="N13" s="31"/>
      <c r="O13" s="30"/>
      <c r="P13" s="31"/>
      <c r="Q13" s="30"/>
      <c r="R13" s="31"/>
      <c r="S13" s="30"/>
      <c r="T13" s="31"/>
      <c r="U13" s="30"/>
      <c r="V13" s="31"/>
      <c r="W13" s="30"/>
      <c r="X13" s="31"/>
      <c r="Z13" s="5">
        <f t="shared" si="0"/>
        <v>3</v>
      </c>
      <c r="AA13" s="8">
        <f t="shared" si="1"/>
        <v>1</v>
      </c>
      <c r="AB13" s="8">
        <f t="shared" si="2"/>
        <v>0</v>
      </c>
      <c r="AC13" s="8">
        <f t="shared" si="3"/>
        <v>0</v>
      </c>
      <c r="AD13" s="8">
        <f t="shared" si="4"/>
        <v>0</v>
      </c>
      <c r="AE13" s="18">
        <f t="shared" si="5"/>
        <v>0</v>
      </c>
      <c r="AF13" s="5"/>
    </row>
    <row r="14" spans="1:35" x14ac:dyDescent="0.25">
      <c r="A14" s="32" t="s">
        <v>67</v>
      </c>
      <c r="C14" s="23" t="s">
        <v>52</v>
      </c>
      <c r="D14" t="s">
        <v>10</v>
      </c>
      <c r="E14" s="30" t="s">
        <v>37</v>
      </c>
      <c r="F14" s="30" t="s">
        <v>37</v>
      </c>
      <c r="G14" s="30" t="s">
        <v>38</v>
      </c>
      <c r="H14" s="30"/>
      <c r="I14" s="30"/>
      <c r="J14" s="31"/>
      <c r="K14" s="30"/>
      <c r="L14" s="31"/>
      <c r="M14" s="30"/>
      <c r="N14" s="31"/>
      <c r="O14" s="30"/>
      <c r="P14" s="31"/>
      <c r="Q14" s="30"/>
      <c r="R14" s="31"/>
      <c r="S14" s="30"/>
      <c r="T14" s="31"/>
      <c r="U14" s="30"/>
      <c r="V14" s="31"/>
      <c r="W14" s="30"/>
      <c r="X14" s="31"/>
      <c r="Z14" s="5">
        <f t="shared" si="0"/>
        <v>3</v>
      </c>
      <c r="AA14" s="8">
        <f t="shared" si="1"/>
        <v>0.66666666666666663</v>
      </c>
      <c r="AB14" s="8">
        <f t="shared" si="2"/>
        <v>0</v>
      </c>
      <c r="AC14" s="8">
        <f t="shared" si="3"/>
        <v>0.33333333333333331</v>
      </c>
      <c r="AD14" s="8">
        <f t="shared" si="4"/>
        <v>0</v>
      </c>
      <c r="AE14" s="18">
        <f t="shared" si="5"/>
        <v>0.33333333333333331</v>
      </c>
      <c r="AF14" s="18">
        <f>AE14</f>
        <v>0.33333333333333331</v>
      </c>
    </row>
    <row r="15" spans="1:35" x14ac:dyDescent="0.25">
      <c r="A15" s="32" t="s">
        <v>33</v>
      </c>
      <c r="C15" s="23" t="s">
        <v>53</v>
      </c>
      <c r="D15" t="s">
        <v>10</v>
      </c>
      <c r="E15" s="30" t="s">
        <v>37</v>
      </c>
      <c r="F15" s="30" t="s">
        <v>37</v>
      </c>
      <c r="G15" s="30" t="s">
        <v>37</v>
      </c>
      <c r="H15" s="30"/>
      <c r="I15" s="30"/>
      <c r="J15" s="31"/>
      <c r="K15" s="30"/>
      <c r="L15" s="31"/>
      <c r="M15" s="30"/>
      <c r="N15" s="31"/>
      <c r="O15" s="30"/>
      <c r="P15" s="31"/>
      <c r="Q15" s="30"/>
      <c r="R15" s="31"/>
      <c r="S15" s="30"/>
      <c r="T15" s="31"/>
      <c r="U15" s="30"/>
      <c r="V15" s="31"/>
      <c r="W15" s="30"/>
      <c r="X15" s="31"/>
      <c r="Z15" s="5">
        <f t="shared" si="0"/>
        <v>3</v>
      </c>
      <c r="AA15" s="8">
        <f t="shared" si="1"/>
        <v>1</v>
      </c>
      <c r="AB15" s="8">
        <f t="shared" si="2"/>
        <v>0</v>
      </c>
      <c r="AC15" s="8">
        <f t="shared" si="3"/>
        <v>0</v>
      </c>
      <c r="AD15" s="8">
        <f t="shared" si="4"/>
        <v>0</v>
      </c>
      <c r="AE15" s="18">
        <f t="shared" si="5"/>
        <v>0</v>
      </c>
      <c r="AF15" s="5"/>
    </row>
    <row r="16" spans="1:35" x14ac:dyDescent="0.25">
      <c r="A16" s="32"/>
      <c r="C16" s="23" t="s">
        <v>54</v>
      </c>
      <c r="D16" t="s">
        <v>10</v>
      </c>
      <c r="E16" s="30" t="s">
        <v>37</v>
      </c>
      <c r="F16" s="30" t="s">
        <v>37</v>
      </c>
      <c r="G16" s="30" t="s">
        <v>38</v>
      </c>
      <c r="H16" s="30"/>
      <c r="I16" s="30"/>
      <c r="J16" s="31"/>
      <c r="K16" s="30"/>
      <c r="L16" s="31"/>
      <c r="M16" s="30"/>
      <c r="N16" s="31"/>
      <c r="O16" s="30"/>
      <c r="P16" s="31"/>
      <c r="Q16" s="30"/>
      <c r="R16" s="31"/>
      <c r="S16" s="30"/>
      <c r="T16" s="31"/>
      <c r="U16" s="30"/>
      <c r="V16" s="31"/>
      <c r="W16" s="30"/>
      <c r="X16" s="31"/>
      <c r="Z16" s="5">
        <f t="shared" si="0"/>
        <v>3</v>
      </c>
      <c r="AA16" s="8">
        <f t="shared" si="1"/>
        <v>0.66666666666666663</v>
      </c>
      <c r="AB16" s="8">
        <f t="shared" si="2"/>
        <v>0</v>
      </c>
      <c r="AC16" s="8">
        <f t="shared" si="3"/>
        <v>0.33333333333333331</v>
      </c>
      <c r="AD16" s="8">
        <f t="shared" si="4"/>
        <v>0</v>
      </c>
      <c r="AE16" s="18">
        <f t="shared" si="5"/>
        <v>0.33333333333333331</v>
      </c>
      <c r="AF16" s="18">
        <f>AE16</f>
        <v>0.33333333333333331</v>
      </c>
    </row>
    <row r="17" spans="1:32" x14ac:dyDescent="0.25">
      <c r="A17" s="32" t="s">
        <v>68</v>
      </c>
      <c r="C17" s="23" t="s">
        <v>0</v>
      </c>
      <c r="D17" t="s">
        <v>10</v>
      </c>
      <c r="E17" s="30" t="s">
        <v>37</v>
      </c>
      <c r="F17" s="30" t="s">
        <v>37</v>
      </c>
      <c r="G17" s="30" t="s">
        <v>37</v>
      </c>
      <c r="H17" s="30"/>
      <c r="I17" s="30"/>
      <c r="J17" s="31"/>
      <c r="K17" s="30"/>
      <c r="L17" s="31"/>
      <c r="M17" s="30"/>
      <c r="N17" s="31"/>
      <c r="O17" s="30"/>
      <c r="P17" s="31"/>
      <c r="Q17" s="30"/>
      <c r="R17" s="31"/>
      <c r="S17" s="30"/>
      <c r="T17" s="31"/>
      <c r="U17" s="30"/>
      <c r="V17" s="31"/>
      <c r="W17" s="30"/>
      <c r="X17" s="31"/>
      <c r="Z17" s="5">
        <f t="shared" ref="Z17" si="7">COUNTA(E17:X17)</f>
        <v>3</v>
      </c>
      <c r="AA17" s="8">
        <f t="shared" ref="AA17" si="8">COUNTIF($E17:$X17,"P")/Z17</f>
        <v>1</v>
      </c>
      <c r="AB17" s="8">
        <f t="shared" ref="AB17" si="9">COUNTIF($E17:$X17,"A")/Z17</f>
        <v>0</v>
      </c>
      <c r="AC17" s="8">
        <f t="shared" ref="AC17" si="10">COUNTIF($E17:$X17,"E")/Z17</f>
        <v>0</v>
      </c>
      <c r="AD17" s="8">
        <f t="shared" ref="AD17" si="11">IF(B17&lt;&gt;"OUI",COUNTIF($E17:$X17,"Disp")/Z17,1)</f>
        <v>0</v>
      </c>
      <c r="AE17" s="18">
        <f t="shared" ref="AE17" si="12">AB17+AC17</f>
        <v>0</v>
      </c>
      <c r="AF17" s="18">
        <f>AE17</f>
        <v>0</v>
      </c>
    </row>
    <row r="18" spans="1:32" x14ac:dyDescent="0.25">
      <c r="A18" s="32"/>
      <c r="C18" s="23" t="s">
        <v>55</v>
      </c>
      <c r="D18" t="s">
        <v>10</v>
      </c>
      <c r="E18" s="30" t="s">
        <v>37</v>
      </c>
      <c r="F18" s="30" t="s">
        <v>37</v>
      </c>
      <c r="G18" s="30" t="s">
        <v>37</v>
      </c>
      <c r="H18" s="30"/>
      <c r="I18" s="30"/>
      <c r="J18" s="31"/>
      <c r="K18" s="30"/>
      <c r="L18" s="31"/>
      <c r="M18" s="30"/>
      <c r="N18" s="31"/>
      <c r="O18" s="30"/>
      <c r="P18" s="31"/>
      <c r="Q18" s="30"/>
      <c r="R18" s="31"/>
      <c r="S18" s="30"/>
      <c r="T18" s="31"/>
      <c r="U18" s="30"/>
      <c r="V18" s="31"/>
      <c r="W18" s="30"/>
      <c r="X18" s="31"/>
      <c r="Z18" s="5">
        <f t="shared" si="0"/>
        <v>3</v>
      </c>
      <c r="AA18" s="8">
        <f t="shared" si="1"/>
        <v>1</v>
      </c>
      <c r="AB18" s="8">
        <f t="shared" si="2"/>
        <v>0</v>
      </c>
      <c r="AC18" s="8">
        <f t="shared" si="3"/>
        <v>0</v>
      </c>
      <c r="AD18" s="8">
        <f t="shared" si="4"/>
        <v>0</v>
      </c>
      <c r="AE18" s="18">
        <f t="shared" si="5"/>
        <v>0</v>
      </c>
      <c r="AF18" s="5"/>
    </row>
    <row r="19" spans="1:32" x14ac:dyDescent="0.25">
      <c r="A19" s="32" t="s">
        <v>36</v>
      </c>
      <c r="C19" s="23" t="s">
        <v>56</v>
      </c>
      <c r="D19" t="s">
        <v>10</v>
      </c>
      <c r="E19" s="30" t="s">
        <v>37</v>
      </c>
      <c r="F19" s="30" t="s">
        <v>37</v>
      </c>
      <c r="G19" s="30" t="s">
        <v>37</v>
      </c>
      <c r="H19" s="30" t="s">
        <v>38</v>
      </c>
      <c r="I19" s="30"/>
      <c r="J19" s="31"/>
      <c r="K19" s="30"/>
      <c r="L19" s="31"/>
      <c r="M19" s="30"/>
      <c r="N19" s="31"/>
      <c r="O19" s="30"/>
      <c r="P19" s="31"/>
      <c r="Q19" s="30"/>
      <c r="R19" s="31"/>
      <c r="S19" s="30"/>
      <c r="T19" s="31"/>
      <c r="U19" s="30"/>
      <c r="V19" s="31"/>
      <c r="W19" s="30"/>
      <c r="X19" s="31"/>
      <c r="Z19" s="5">
        <f t="shared" si="0"/>
        <v>4</v>
      </c>
      <c r="AA19" s="8">
        <f t="shared" si="1"/>
        <v>0.75</v>
      </c>
      <c r="AB19" s="8">
        <f t="shared" si="2"/>
        <v>0</v>
      </c>
      <c r="AC19" s="8">
        <f t="shared" si="3"/>
        <v>0.25</v>
      </c>
      <c r="AD19" s="8">
        <f t="shared" si="4"/>
        <v>0</v>
      </c>
      <c r="AE19" s="18">
        <f t="shared" si="5"/>
        <v>0.25</v>
      </c>
      <c r="AF19" s="18">
        <f>AE19</f>
        <v>0.25</v>
      </c>
    </row>
    <row r="20" spans="1:32" x14ac:dyDescent="0.25">
      <c r="A20" s="32"/>
      <c r="C20" s="23" t="s">
        <v>57</v>
      </c>
      <c r="D20" t="s">
        <v>10</v>
      </c>
      <c r="E20" s="30" t="s">
        <v>37</v>
      </c>
      <c r="F20" s="30" t="s">
        <v>37</v>
      </c>
      <c r="G20" s="30" t="s">
        <v>38</v>
      </c>
      <c r="H20" s="30"/>
      <c r="I20" s="30"/>
      <c r="J20" s="31"/>
      <c r="K20" s="30"/>
      <c r="L20" s="31"/>
      <c r="M20" s="30"/>
      <c r="N20" s="31"/>
      <c r="O20" s="30"/>
      <c r="P20" s="31"/>
      <c r="Q20" s="30"/>
      <c r="R20" s="31"/>
      <c r="S20" s="30"/>
      <c r="T20" s="31"/>
      <c r="U20" s="30"/>
      <c r="V20" s="31"/>
      <c r="W20" s="30"/>
      <c r="X20" s="31"/>
      <c r="Z20" s="5"/>
      <c r="AA20" s="8"/>
      <c r="AB20" s="8"/>
      <c r="AC20" s="8"/>
      <c r="AD20" s="8"/>
      <c r="AE20" s="18"/>
      <c r="AF20" s="18"/>
    </row>
    <row r="21" spans="1:32" x14ac:dyDescent="0.25">
      <c r="A21" s="32" t="s">
        <v>69</v>
      </c>
      <c r="C21" s="23" t="s">
        <v>58</v>
      </c>
      <c r="D21" t="s">
        <v>10</v>
      </c>
      <c r="E21" s="30" t="s">
        <v>37</v>
      </c>
      <c r="F21" s="30" t="s">
        <v>37</v>
      </c>
      <c r="G21" s="30" t="s">
        <v>37</v>
      </c>
      <c r="H21" s="30"/>
      <c r="I21" s="30"/>
      <c r="J21" s="31"/>
      <c r="K21" s="30"/>
      <c r="L21" s="31"/>
      <c r="M21" s="30"/>
      <c r="N21" s="31"/>
      <c r="O21" s="30"/>
      <c r="P21" s="31"/>
      <c r="Q21" s="30"/>
      <c r="R21" s="31"/>
      <c r="S21" s="30"/>
      <c r="T21" s="31"/>
      <c r="U21" s="30"/>
      <c r="V21" s="31"/>
      <c r="W21" s="30"/>
      <c r="X21" s="31"/>
      <c r="Z21" s="5">
        <f t="shared" si="0"/>
        <v>3</v>
      </c>
      <c r="AA21" s="8">
        <f t="shared" si="1"/>
        <v>1</v>
      </c>
      <c r="AB21" s="8">
        <f t="shared" si="2"/>
        <v>0</v>
      </c>
      <c r="AC21" s="8">
        <f t="shared" si="3"/>
        <v>0</v>
      </c>
      <c r="AD21" s="8">
        <f t="shared" si="4"/>
        <v>0</v>
      </c>
      <c r="AE21" s="18">
        <f t="shared" si="5"/>
        <v>0</v>
      </c>
      <c r="AF21" s="5"/>
    </row>
    <row r="22" spans="1:32" x14ac:dyDescent="0.25">
      <c r="A22" s="32" t="s">
        <v>33</v>
      </c>
      <c r="C22" s="23" t="s">
        <v>59</v>
      </c>
      <c r="D22" t="s">
        <v>10</v>
      </c>
      <c r="E22" s="30" t="s">
        <v>40</v>
      </c>
      <c r="F22" s="30" t="s">
        <v>37</v>
      </c>
      <c r="G22" s="30" t="s">
        <v>40</v>
      </c>
      <c r="H22" s="30"/>
      <c r="I22" s="30"/>
      <c r="J22" s="31"/>
      <c r="K22" s="30"/>
      <c r="L22" s="31"/>
      <c r="M22" s="30"/>
      <c r="N22" s="31"/>
      <c r="O22" s="30"/>
      <c r="P22" s="31"/>
      <c r="Q22" s="30"/>
      <c r="R22" s="31"/>
      <c r="S22" s="30"/>
      <c r="T22" s="31"/>
      <c r="U22" s="30"/>
      <c r="V22" s="31"/>
      <c r="W22" s="30"/>
      <c r="X22" s="31"/>
      <c r="Z22" s="5">
        <f t="shared" si="0"/>
        <v>3</v>
      </c>
      <c r="AA22" s="8">
        <f t="shared" si="1"/>
        <v>0.33333333333333331</v>
      </c>
      <c r="AB22" s="8">
        <f t="shared" si="2"/>
        <v>0</v>
      </c>
      <c r="AC22" s="8">
        <f t="shared" si="3"/>
        <v>0</v>
      </c>
      <c r="AD22" s="8">
        <f t="shared" si="4"/>
        <v>0.66666666666666663</v>
      </c>
      <c r="AE22" s="18">
        <f t="shared" si="5"/>
        <v>0</v>
      </c>
      <c r="AF22" s="18">
        <f>AE22</f>
        <v>0</v>
      </c>
    </row>
    <row r="23" spans="1:32" x14ac:dyDescent="0.25">
      <c r="A23" s="32" t="s">
        <v>70</v>
      </c>
      <c r="B23" t="s">
        <v>7</v>
      </c>
      <c r="C23" s="26" t="s">
        <v>60</v>
      </c>
      <c r="D23" t="s">
        <v>10</v>
      </c>
      <c r="E23" s="30" t="s">
        <v>37</v>
      </c>
      <c r="F23" s="30" t="s">
        <v>37</v>
      </c>
      <c r="G23" s="30" t="s">
        <v>38</v>
      </c>
      <c r="H23" s="30"/>
      <c r="I23" s="30"/>
      <c r="J23" s="31"/>
      <c r="K23" s="30"/>
      <c r="L23" s="31"/>
      <c r="M23" s="30"/>
      <c r="N23" s="31"/>
      <c r="O23" s="30"/>
      <c r="P23" s="31"/>
      <c r="Q23" s="30"/>
      <c r="R23" s="31"/>
      <c r="S23" s="30"/>
      <c r="T23" s="31"/>
      <c r="U23" s="30"/>
      <c r="V23" s="31"/>
      <c r="W23" s="30"/>
      <c r="X23" s="31"/>
      <c r="Z23" s="5">
        <f t="shared" si="0"/>
        <v>3</v>
      </c>
      <c r="AA23" s="8">
        <f t="shared" si="1"/>
        <v>0.66666666666666663</v>
      </c>
      <c r="AB23" s="8">
        <f t="shared" si="2"/>
        <v>0</v>
      </c>
      <c r="AC23" s="8">
        <f t="shared" si="3"/>
        <v>0.33333333333333331</v>
      </c>
      <c r="AD23" s="8">
        <f t="shared" si="4"/>
        <v>1</v>
      </c>
      <c r="AE23" s="18">
        <f t="shared" si="5"/>
        <v>0.33333333333333331</v>
      </c>
      <c r="AF23" s="5"/>
    </row>
    <row r="24" spans="1:32" x14ac:dyDescent="0.25">
      <c r="A24" s="32"/>
      <c r="C24" s="23" t="s">
        <v>61</v>
      </c>
      <c r="D24" t="s">
        <v>10</v>
      </c>
      <c r="E24" s="30" t="s">
        <v>37</v>
      </c>
      <c r="F24" s="30" t="s">
        <v>37</v>
      </c>
      <c r="G24" s="30" t="s">
        <v>38</v>
      </c>
      <c r="H24" s="30"/>
      <c r="I24" s="30"/>
      <c r="J24" s="31"/>
      <c r="K24" s="30"/>
      <c r="L24" s="31"/>
      <c r="M24" s="30"/>
      <c r="N24" s="31"/>
      <c r="O24" s="30"/>
      <c r="P24" s="31"/>
      <c r="Q24" s="30"/>
      <c r="R24" s="31"/>
      <c r="S24" s="30"/>
      <c r="T24" s="31"/>
      <c r="U24" s="30"/>
      <c r="V24" s="31"/>
      <c r="W24" s="30"/>
      <c r="X24" s="31"/>
      <c r="Z24" s="5">
        <f t="shared" si="0"/>
        <v>3</v>
      </c>
      <c r="AA24" s="8">
        <f t="shared" si="1"/>
        <v>0.66666666666666663</v>
      </c>
      <c r="AB24" s="8">
        <f t="shared" si="2"/>
        <v>0</v>
      </c>
      <c r="AC24" s="8">
        <f t="shared" si="3"/>
        <v>0.33333333333333331</v>
      </c>
      <c r="AD24" s="8">
        <f t="shared" si="4"/>
        <v>0</v>
      </c>
      <c r="AE24" s="18">
        <f t="shared" si="5"/>
        <v>0.33333333333333331</v>
      </c>
      <c r="AF24" s="5"/>
    </row>
    <row r="25" spans="1:32" x14ac:dyDescent="0.25">
      <c r="A25" s="32"/>
      <c r="C25" s="23" t="s">
        <v>62</v>
      </c>
      <c r="D25" t="s">
        <v>10</v>
      </c>
      <c r="E25" s="30" t="s">
        <v>37</v>
      </c>
      <c r="F25" s="30" t="s">
        <v>38</v>
      </c>
      <c r="G25" s="30" t="s">
        <v>38</v>
      </c>
      <c r="H25" s="30"/>
      <c r="I25" s="30"/>
      <c r="J25" s="31"/>
      <c r="K25" s="30"/>
      <c r="L25" s="31"/>
      <c r="M25" s="30"/>
      <c r="N25" s="31"/>
      <c r="O25" s="30"/>
      <c r="P25" s="31"/>
      <c r="Q25" s="30"/>
      <c r="R25" s="31"/>
      <c r="S25" s="30"/>
      <c r="T25" s="31"/>
      <c r="U25" s="30"/>
      <c r="V25" s="31"/>
      <c r="W25" s="30"/>
      <c r="X25" s="31"/>
      <c r="Z25" s="5">
        <f t="shared" si="0"/>
        <v>3</v>
      </c>
      <c r="AA25" s="8">
        <f t="shared" si="1"/>
        <v>0.33333333333333331</v>
      </c>
      <c r="AB25" s="8">
        <f t="shared" si="2"/>
        <v>0</v>
      </c>
      <c r="AC25" s="8">
        <f t="shared" si="3"/>
        <v>0.66666666666666663</v>
      </c>
      <c r="AD25" s="8">
        <f t="shared" si="4"/>
        <v>0</v>
      </c>
      <c r="AE25" s="18">
        <f t="shared" si="5"/>
        <v>0.66666666666666663</v>
      </c>
      <c r="AF25" s="5"/>
    </row>
    <row r="26" spans="1:32" x14ac:dyDescent="0.25">
      <c r="A26" s="32" t="s">
        <v>71</v>
      </c>
      <c r="C26" s="23" t="s">
        <v>63</v>
      </c>
      <c r="D26" t="s">
        <v>10</v>
      </c>
      <c r="E26" s="30" t="s">
        <v>37</v>
      </c>
      <c r="F26" s="30" t="s">
        <v>37</v>
      </c>
      <c r="G26" s="30" t="s">
        <v>38</v>
      </c>
      <c r="H26" s="30"/>
      <c r="I26" s="30"/>
      <c r="J26" s="31"/>
      <c r="K26" s="30"/>
      <c r="L26" s="31"/>
      <c r="M26" s="30"/>
      <c r="N26" s="31"/>
      <c r="O26" s="30"/>
      <c r="P26" s="31"/>
      <c r="Q26" s="30"/>
      <c r="R26" s="31"/>
      <c r="S26" s="30"/>
      <c r="T26" s="31"/>
      <c r="U26" s="30"/>
      <c r="V26" s="31"/>
      <c r="W26" s="30"/>
      <c r="X26" s="31"/>
      <c r="Z26" s="5">
        <f t="shared" si="0"/>
        <v>3</v>
      </c>
      <c r="AA26" s="8">
        <f t="shared" si="1"/>
        <v>0.66666666666666663</v>
      </c>
      <c r="AB26" s="8">
        <f t="shared" si="2"/>
        <v>0</v>
      </c>
      <c r="AC26" s="8">
        <f t="shared" si="3"/>
        <v>0.33333333333333331</v>
      </c>
      <c r="AD26" s="8">
        <f t="shared" si="4"/>
        <v>0</v>
      </c>
      <c r="AE26" s="18">
        <f t="shared" si="5"/>
        <v>0.33333333333333331</v>
      </c>
      <c r="AF26" s="18">
        <f t="shared" ref="AF26:AF27" si="13">AE26</f>
        <v>0.33333333333333331</v>
      </c>
    </row>
    <row r="27" spans="1:32" x14ac:dyDescent="0.25">
      <c r="A27" s="32" t="s">
        <v>72</v>
      </c>
      <c r="C27" s="23" t="s">
        <v>64</v>
      </c>
      <c r="D27" t="s">
        <v>10</v>
      </c>
      <c r="E27" s="30" t="s">
        <v>37</v>
      </c>
      <c r="F27" s="30" t="s">
        <v>37</v>
      </c>
      <c r="G27" s="30" t="s">
        <v>37</v>
      </c>
      <c r="H27" s="30"/>
      <c r="I27" s="30"/>
      <c r="J27" s="31"/>
      <c r="K27" s="30"/>
      <c r="L27" s="31"/>
      <c r="M27" s="30"/>
      <c r="N27" s="31"/>
      <c r="O27" s="30"/>
      <c r="P27" s="31"/>
      <c r="Q27" s="30"/>
      <c r="R27" s="31"/>
      <c r="S27" s="30"/>
      <c r="T27" s="31"/>
      <c r="U27" s="30"/>
      <c r="V27" s="31"/>
      <c r="W27" s="30"/>
      <c r="X27" s="31"/>
      <c r="Z27" s="5">
        <f t="shared" si="0"/>
        <v>3</v>
      </c>
      <c r="AA27" s="8">
        <f t="shared" si="1"/>
        <v>1</v>
      </c>
      <c r="AB27" s="8">
        <f t="shared" si="2"/>
        <v>0</v>
      </c>
      <c r="AC27" s="8">
        <f t="shared" si="3"/>
        <v>0</v>
      </c>
      <c r="AD27" s="8">
        <f t="shared" si="4"/>
        <v>0</v>
      </c>
      <c r="AE27" s="18">
        <f t="shared" si="5"/>
        <v>0</v>
      </c>
      <c r="AF27" s="18">
        <f t="shared" si="13"/>
        <v>0</v>
      </c>
    </row>
    <row r="29" spans="1:32" x14ac:dyDescent="0.25">
      <c r="C29" s="16" t="s">
        <v>15</v>
      </c>
      <c r="D29" s="12"/>
      <c r="E29" s="9">
        <f>SUM(E30:E33)</f>
        <v>24</v>
      </c>
      <c r="F29" s="6">
        <f t="shared" ref="F29:V29" si="14">SUM(F30:F33)</f>
        <v>24</v>
      </c>
      <c r="G29" s="6">
        <f t="shared" si="14"/>
        <v>24</v>
      </c>
      <c r="H29" s="6">
        <f t="shared" si="14"/>
        <v>1</v>
      </c>
      <c r="I29" s="6">
        <f t="shared" si="14"/>
        <v>0</v>
      </c>
      <c r="J29" s="6">
        <f t="shared" si="14"/>
        <v>0</v>
      </c>
      <c r="K29" s="6">
        <f t="shared" si="14"/>
        <v>0</v>
      </c>
      <c r="L29" s="6">
        <f t="shared" si="14"/>
        <v>0</v>
      </c>
      <c r="M29" s="6">
        <f t="shared" si="14"/>
        <v>0</v>
      </c>
      <c r="N29" s="6">
        <f t="shared" si="14"/>
        <v>0</v>
      </c>
      <c r="O29" s="6">
        <f t="shared" si="14"/>
        <v>0</v>
      </c>
      <c r="P29" s="6">
        <f t="shared" si="14"/>
        <v>0</v>
      </c>
      <c r="Q29" s="6">
        <f t="shared" si="14"/>
        <v>0</v>
      </c>
      <c r="R29" s="6">
        <f t="shared" si="14"/>
        <v>0</v>
      </c>
      <c r="S29" s="6">
        <f t="shared" si="14"/>
        <v>0</v>
      </c>
      <c r="T29" s="6">
        <f t="shared" si="14"/>
        <v>0</v>
      </c>
      <c r="U29" s="6">
        <f t="shared" si="14"/>
        <v>0</v>
      </c>
      <c r="V29" s="6">
        <f t="shared" si="14"/>
        <v>0</v>
      </c>
      <c r="W29" s="6">
        <f>SUM(W30:W33)</f>
        <v>0</v>
      </c>
      <c r="X29" s="6">
        <f t="shared" ref="X29" si="15">SUM(X30:X33)</f>
        <v>0</v>
      </c>
    </row>
    <row r="30" spans="1:32" x14ac:dyDescent="0.25">
      <c r="C30" s="16" t="s">
        <v>11</v>
      </c>
      <c r="D30" s="12"/>
      <c r="E30" s="24">
        <f>COUNTIF(E4:E27,"P")</f>
        <v>21</v>
      </c>
      <c r="F30" s="25">
        <f>COUNTIF(F4:F27,"P")</f>
        <v>21</v>
      </c>
      <c r="G30" s="25">
        <f>COUNTIF(G4:G27,"P")</f>
        <v>14</v>
      </c>
      <c r="H30" s="25">
        <f>COUNTIF(H4:H27,"P")</f>
        <v>0</v>
      </c>
      <c r="I30" s="25">
        <f>COUNTIF(I4:I27,"P")</f>
        <v>0</v>
      </c>
      <c r="J30" s="25">
        <f>COUNTIF(J4:J27,"P")</f>
        <v>0</v>
      </c>
      <c r="K30" s="25">
        <f>COUNTIF(K4:K27,"P")</f>
        <v>0</v>
      </c>
      <c r="L30" s="25">
        <f>COUNTIF(L4:L27,"P")</f>
        <v>0</v>
      </c>
      <c r="M30" s="25">
        <f>COUNTIF(M4:M27,"P")</f>
        <v>0</v>
      </c>
      <c r="N30" s="25">
        <f>COUNTIF(N4:N27,"P")</f>
        <v>0</v>
      </c>
      <c r="O30" s="25">
        <f>COUNTIF(O4:O27,"P")</f>
        <v>0</v>
      </c>
      <c r="P30" s="25">
        <f>COUNTIF(P4:P27,"P")</f>
        <v>0</v>
      </c>
      <c r="Q30" s="25">
        <f>COUNTIF(Q4:Q27,"P")</f>
        <v>0</v>
      </c>
      <c r="R30" s="25">
        <f>COUNTIF(R4:R27,"P")</f>
        <v>0</v>
      </c>
      <c r="S30" s="25">
        <f>COUNTIF(S4:S27,"P")</f>
        <v>0</v>
      </c>
      <c r="T30" s="25">
        <f>COUNTIF(T4:T27,"P")</f>
        <v>0</v>
      </c>
      <c r="U30" s="25">
        <f>COUNTIF(U4:U27,"P")</f>
        <v>0</v>
      </c>
      <c r="V30" s="25">
        <f>COUNTIF(V4:V27,"P")</f>
        <v>0</v>
      </c>
      <c r="W30" s="25">
        <f>COUNTIF(W4:W27,"P")</f>
        <v>0</v>
      </c>
      <c r="X30" s="25">
        <f>COUNTIF(X4:X27,"P")</f>
        <v>0</v>
      </c>
    </row>
    <row r="31" spans="1:32" x14ac:dyDescent="0.25">
      <c r="C31" s="16" t="s">
        <v>13</v>
      </c>
      <c r="D31" s="12"/>
      <c r="E31" s="9">
        <f>COUNTIF(E4:E27,"A")</f>
        <v>0</v>
      </c>
      <c r="F31" s="6">
        <f>COUNTIF(F4:F27,"A")</f>
        <v>0</v>
      </c>
      <c r="G31" s="6">
        <f>COUNTIF(G4:G27,"A")</f>
        <v>0</v>
      </c>
      <c r="H31" s="6">
        <f>COUNTIF(H4:H27,"A")</f>
        <v>0</v>
      </c>
      <c r="I31" s="6">
        <f>COUNTIF(I4:I27,"A")</f>
        <v>0</v>
      </c>
      <c r="J31" s="6">
        <f>COUNTIF(J4:J27,"A")</f>
        <v>0</v>
      </c>
      <c r="K31" s="6">
        <f>COUNTIF(K4:K27,"A")</f>
        <v>0</v>
      </c>
      <c r="L31" s="6">
        <f>COUNTIF(L4:L27,"A")</f>
        <v>0</v>
      </c>
      <c r="M31" s="6">
        <f>COUNTIF(M4:M27,"A")</f>
        <v>0</v>
      </c>
      <c r="N31" s="6">
        <f>COUNTIF(N4:N27,"A")</f>
        <v>0</v>
      </c>
      <c r="O31" s="6">
        <f>COUNTIF(O4:O27,"A")</f>
        <v>0</v>
      </c>
      <c r="P31" s="6">
        <f>COUNTIF(P4:P27,"A")</f>
        <v>0</v>
      </c>
      <c r="Q31" s="6">
        <f>COUNTIF(Q4:Q27,"A")</f>
        <v>0</v>
      </c>
      <c r="R31" s="6">
        <f>COUNTIF(R4:R27,"A")</f>
        <v>0</v>
      </c>
      <c r="S31" s="6">
        <f>COUNTIF(S4:S27,"A")</f>
        <v>0</v>
      </c>
      <c r="T31" s="6">
        <f>COUNTIF(T4:T27,"A")</f>
        <v>0</v>
      </c>
      <c r="U31" s="6">
        <f>COUNTIF(U4:U27,"A")</f>
        <v>0</v>
      </c>
      <c r="V31" s="6">
        <f>COUNTIF(V4:V27,"A")</f>
        <v>0</v>
      </c>
      <c r="W31" s="6">
        <f>COUNTIF(W4:W27,"A")</f>
        <v>0</v>
      </c>
      <c r="X31" s="6">
        <f>COUNTIF(X4:X27,"A")</f>
        <v>0</v>
      </c>
    </row>
    <row r="32" spans="1:32" x14ac:dyDescent="0.25">
      <c r="C32" s="16" t="s">
        <v>12</v>
      </c>
      <c r="D32" s="12"/>
      <c r="E32" s="9">
        <f>COUNTIF(E4:E27,"E")</f>
        <v>1</v>
      </c>
      <c r="F32" s="6">
        <f>COUNTIF(F4:F27,"E")</f>
        <v>3</v>
      </c>
      <c r="G32" s="6">
        <f>COUNTIF(G4:G27,"E")</f>
        <v>8</v>
      </c>
      <c r="H32" s="6">
        <f>COUNTIF(H4:H27,"E")</f>
        <v>1</v>
      </c>
      <c r="I32" s="6">
        <f>COUNTIF(I4:I27,"E")</f>
        <v>0</v>
      </c>
      <c r="J32" s="6">
        <f>COUNTIF(J4:J27,"E")</f>
        <v>0</v>
      </c>
      <c r="K32" s="6">
        <f>COUNTIF(K4:K27,"E")</f>
        <v>0</v>
      </c>
      <c r="L32" s="6">
        <f>COUNTIF(L4:L27,"E")</f>
        <v>0</v>
      </c>
      <c r="M32" s="6">
        <f>COUNTIF(M4:M27,"E")</f>
        <v>0</v>
      </c>
      <c r="N32" s="6">
        <f>COUNTIF(N4:N27,"E")</f>
        <v>0</v>
      </c>
      <c r="O32" s="6">
        <f>COUNTIF(O4:O27,"E")</f>
        <v>0</v>
      </c>
      <c r="P32" s="6">
        <f>COUNTIF(P4:P27,"E")</f>
        <v>0</v>
      </c>
      <c r="Q32" s="6">
        <f>COUNTIF(Q4:Q27,"E")</f>
        <v>0</v>
      </c>
      <c r="R32" s="6">
        <f>COUNTIF(R4:R27,"E")</f>
        <v>0</v>
      </c>
      <c r="S32" s="6">
        <f>COUNTIF(S4:S27,"E")</f>
        <v>0</v>
      </c>
      <c r="T32" s="6">
        <f>COUNTIF(T4:T27,"E")</f>
        <v>0</v>
      </c>
      <c r="U32" s="6">
        <f>COUNTIF(U4:U27,"E")</f>
        <v>0</v>
      </c>
      <c r="V32" s="6">
        <f>COUNTIF(V4:V27,"E")</f>
        <v>0</v>
      </c>
      <c r="W32" s="6">
        <f>COUNTIF(W4:W27,"E")</f>
        <v>0</v>
      </c>
      <c r="X32" s="6">
        <f>COUNTIF(X4:X27,"E")</f>
        <v>0</v>
      </c>
    </row>
    <row r="33" spans="3:24" x14ac:dyDescent="0.25">
      <c r="C33" s="16" t="s">
        <v>14</v>
      </c>
      <c r="D33" s="12"/>
      <c r="E33" s="9">
        <f>COUNTIF(E4:E27,"Disp")</f>
        <v>2</v>
      </c>
      <c r="F33" s="6">
        <f>COUNTIF(F4:F27,"Disp")</f>
        <v>0</v>
      </c>
      <c r="G33" s="6">
        <f>COUNTIF(G4:G27,"Disp")</f>
        <v>2</v>
      </c>
      <c r="H33" s="6">
        <f>COUNTIF(H4:H27,"Disp")</f>
        <v>0</v>
      </c>
      <c r="I33" s="6">
        <f>COUNTIF(I4:I27,"Disp")</f>
        <v>0</v>
      </c>
      <c r="J33" s="6">
        <f>COUNTIF(J4:J27,"Disp")</f>
        <v>0</v>
      </c>
      <c r="K33" s="6">
        <f>COUNTIF(K4:K27,"Disp")</f>
        <v>0</v>
      </c>
      <c r="L33" s="6">
        <f>COUNTIF(L4:L27,"Disp")</f>
        <v>0</v>
      </c>
      <c r="M33" s="6">
        <f>COUNTIF(M4:M27,"Disp")</f>
        <v>0</v>
      </c>
      <c r="N33" s="6">
        <f>COUNTIF(N4:N27,"Disp")</f>
        <v>0</v>
      </c>
      <c r="O33" s="6">
        <f>COUNTIF(O4:O27,"Disp")</f>
        <v>0</v>
      </c>
      <c r="P33" s="6">
        <f>COUNTIF(P4:P27,"Disp")</f>
        <v>0</v>
      </c>
      <c r="Q33" s="6">
        <f>COUNTIF(Q4:Q27,"Disp")</f>
        <v>0</v>
      </c>
      <c r="R33" s="6">
        <f>COUNTIF(R4:R27,"Disp")</f>
        <v>0</v>
      </c>
      <c r="S33" s="6">
        <f>COUNTIF(S4:S27,"Disp")</f>
        <v>0</v>
      </c>
      <c r="T33" s="6">
        <f>COUNTIF(T4:T27,"Disp")</f>
        <v>0</v>
      </c>
      <c r="U33" s="6">
        <f>COUNTIF(U4:U27,"Disp")</f>
        <v>0</v>
      </c>
      <c r="V33" s="6">
        <f>COUNTIF(V4:V27,"Disp")</f>
        <v>0</v>
      </c>
      <c r="W33" s="6">
        <f>COUNTIF(W4:W27,"Disp")</f>
        <v>0</v>
      </c>
      <c r="X33" s="6">
        <f>COUNTIF(X4:X27,"Disp")</f>
        <v>0</v>
      </c>
    </row>
    <row r="34" spans="3:24" x14ac:dyDescent="0.25">
      <c r="D34" s="13"/>
    </row>
    <row r="35" spans="3:24" x14ac:dyDescent="0.25">
      <c r="C35" s="17" t="s">
        <v>16</v>
      </c>
      <c r="D35" s="14"/>
      <c r="E35" s="10">
        <f>E30/E29</f>
        <v>0.875</v>
      </c>
      <c r="F35" s="8">
        <f t="shared" ref="F35:V35" si="16">F30/F29</f>
        <v>0.875</v>
      </c>
      <c r="G35" s="8">
        <f t="shared" si="16"/>
        <v>0.58333333333333337</v>
      </c>
      <c r="H35" s="8">
        <f t="shared" si="16"/>
        <v>0</v>
      </c>
      <c r="I35" s="8" t="e">
        <f t="shared" si="16"/>
        <v>#DIV/0!</v>
      </c>
      <c r="J35" s="8" t="e">
        <f t="shared" si="16"/>
        <v>#DIV/0!</v>
      </c>
      <c r="K35" s="8" t="e">
        <f t="shared" si="16"/>
        <v>#DIV/0!</v>
      </c>
      <c r="L35" s="8" t="e">
        <f t="shared" si="16"/>
        <v>#DIV/0!</v>
      </c>
      <c r="M35" s="8" t="e">
        <f t="shared" si="16"/>
        <v>#DIV/0!</v>
      </c>
      <c r="N35" s="8" t="e">
        <f t="shared" si="16"/>
        <v>#DIV/0!</v>
      </c>
      <c r="O35" s="8" t="e">
        <f t="shared" si="16"/>
        <v>#DIV/0!</v>
      </c>
      <c r="P35" s="8" t="e">
        <f t="shared" si="16"/>
        <v>#DIV/0!</v>
      </c>
      <c r="Q35" s="8" t="e">
        <f t="shared" si="16"/>
        <v>#DIV/0!</v>
      </c>
      <c r="R35" s="8" t="e">
        <f t="shared" si="16"/>
        <v>#DIV/0!</v>
      </c>
      <c r="S35" s="8" t="e">
        <f t="shared" si="16"/>
        <v>#DIV/0!</v>
      </c>
      <c r="T35" s="8" t="e">
        <f t="shared" si="16"/>
        <v>#DIV/0!</v>
      </c>
      <c r="U35" s="8" t="e">
        <f t="shared" si="16"/>
        <v>#DIV/0!</v>
      </c>
      <c r="V35" s="8" t="e">
        <f t="shared" si="16"/>
        <v>#DIV/0!</v>
      </c>
      <c r="W35" s="8" t="e">
        <f>W30/W29</f>
        <v>#DIV/0!</v>
      </c>
      <c r="X35" s="8" t="e">
        <f t="shared" ref="X35" si="17">X30/X29</f>
        <v>#DIV/0!</v>
      </c>
    </row>
    <row r="36" spans="3:24" x14ac:dyDescent="0.25">
      <c r="C36" s="17" t="s">
        <v>20</v>
      </c>
      <c r="D36" s="14"/>
      <c r="E36" s="10">
        <f>E31/E29</f>
        <v>0</v>
      </c>
      <c r="F36" s="8">
        <f t="shared" ref="F36:V36" si="18">F31/F29</f>
        <v>0</v>
      </c>
      <c r="G36" s="8">
        <f t="shared" si="18"/>
        <v>0</v>
      </c>
      <c r="H36" s="8">
        <f t="shared" si="18"/>
        <v>0</v>
      </c>
      <c r="I36" s="8" t="e">
        <f t="shared" si="18"/>
        <v>#DIV/0!</v>
      </c>
      <c r="J36" s="8" t="e">
        <f t="shared" si="18"/>
        <v>#DIV/0!</v>
      </c>
      <c r="K36" s="8" t="e">
        <f t="shared" si="18"/>
        <v>#DIV/0!</v>
      </c>
      <c r="L36" s="8" t="e">
        <f t="shared" si="18"/>
        <v>#DIV/0!</v>
      </c>
      <c r="M36" s="8" t="e">
        <f t="shared" si="18"/>
        <v>#DIV/0!</v>
      </c>
      <c r="N36" s="8" t="e">
        <f t="shared" si="18"/>
        <v>#DIV/0!</v>
      </c>
      <c r="O36" s="8" t="e">
        <f t="shared" si="18"/>
        <v>#DIV/0!</v>
      </c>
      <c r="P36" s="8" t="e">
        <f t="shared" si="18"/>
        <v>#DIV/0!</v>
      </c>
      <c r="Q36" s="8" t="e">
        <f t="shared" si="18"/>
        <v>#DIV/0!</v>
      </c>
      <c r="R36" s="8" t="e">
        <f t="shared" si="18"/>
        <v>#DIV/0!</v>
      </c>
      <c r="S36" s="8" t="e">
        <f t="shared" si="18"/>
        <v>#DIV/0!</v>
      </c>
      <c r="T36" s="8" t="e">
        <f t="shared" si="18"/>
        <v>#DIV/0!</v>
      </c>
      <c r="U36" s="8" t="e">
        <f t="shared" si="18"/>
        <v>#DIV/0!</v>
      </c>
      <c r="V36" s="8" t="e">
        <f t="shared" si="18"/>
        <v>#DIV/0!</v>
      </c>
      <c r="W36" s="8" t="e">
        <f>W31/W29</f>
        <v>#DIV/0!</v>
      </c>
      <c r="X36" s="8" t="e">
        <f t="shared" ref="X36" si="19">X31/X29</f>
        <v>#DIV/0!</v>
      </c>
    </row>
    <row r="37" spans="3:24" x14ac:dyDescent="0.25">
      <c r="C37" s="17" t="s">
        <v>21</v>
      </c>
      <c r="D37" s="14"/>
      <c r="E37" s="10">
        <f>E32/E29</f>
        <v>4.1666666666666664E-2</v>
      </c>
      <c r="F37" s="8">
        <f t="shared" ref="F37:V37" si="20">F32/F29</f>
        <v>0.125</v>
      </c>
      <c r="G37" s="8">
        <f t="shared" si="20"/>
        <v>0.33333333333333331</v>
      </c>
      <c r="H37" s="8">
        <f t="shared" si="20"/>
        <v>1</v>
      </c>
      <c r="I37" s="8" t="e">
        <f t="shared" si="20"/>
        <v>#DIV/0!</v>
      </c>
      <c r="J37" s="8" t="e">
        <f t="shared" si="20"/>
        <v>#DIV/0!</v>
      </c>
      <c r="K37" s="8" t="e">
        <f t="shared" si="20"/>
        <v>#DIV/0!</v>
      </c>
      <c r="L37" s="8" t="e">
        <f t="shared" si="20"/>
        <v>#DIV/0!</v>
      </c>
      <c r="M37" s="8" t="e">
        <f t="shared" si="20"/>
        <v>#DIV/0!</v>
      </c>
      <c r="N37" s="8" t="e">
        <f t="shared" si="20"/>
        <v>#DIV/0!</v>
      </c>
      <c r="O37" s="8" t="e">
        <f t="shared" si="20"/>
        <v>#DIV/0!</v>
      </c>
      <c r="P37" s="8" t="e">
        <f t="shared" si="20"/>
        <v>#DIV/0!</v>
      </c>
      <c r="Q37" s="8" t="e">
        <f t="shared" si="20"/>
        <v>#DIV/0!</v>
      </c>
      <c r="R37" s="8" t="e">
        <f t="shared" si="20"/>
        <v>#DIV/0!</v>
      </c>
      <c r="S37" s="8" t="e">
        <f t="shared" si="20"/>
        <v>#DIV/0!</v>
      </c>
      <c r="T37" s="8" t="e">
        <f t="shared" si="20"/>
        <v>#DIV/0!</v>
      </c>
      <c r="U37" s="8" t="e">
        <f t="shared" si="20"/>
        <v>#DIV/0!</v>
      </c>
      <c r="V37" s="8" t="e">
        <f t="shared" si="20"/>
        <v>#DIV/0!</v>
      </c>
      <c r="W37" s="8" t="e">
        <f>W32/W29</f>
        <v>#DIV/0!</v>
      </c>
      <c r="X37" s="8" t="e">
        <f t="shared" ref="X37" si="21">X32/X29</f>
        <v>#DIV/0!</v>
      </c>
    </row>
    <row r="38" spans="3:24" x14ac:dyDescent="0.25">
      <c r="C38" s="17" t="s">
        <v>17</v>
      </c>
      <c r="D38" s="14"/>
      <c r="E38" s="10">
        <f>E33/E29</f>
        <v>8.3333333333333329E-2</v>
      </c>
      <c r="F38" s="8">
        <f t="shared" ref="F38:V38" si="22">F33/F29</f>
        <v>0</v>
      </c>
      <c r="G38" s="8">
        <f t="shared" si="22"/>
        <v>8.3333333333333329E-2</v>
      </c>
      <c r="H38" s="8">
        <f t="shared" si="22"/>
        <v>0</v>
      </c>
      <c r="I38" s="8" t="e">
        <f t="shared" si="22"/>
        <v>#DIV/0!</v>
      </c>
      <c r="J38" s="8" t="e">
        <f t="shared" si="22"/>
        <v>#DIV/0!</v>
      </c>
      <c r="K38" s="8" t="e">
        <f t="shared" si="22"/>
        <v>#DIV/0!</v>
      </c>
      <c r="L38" s="8" t="e">
        <f t="shared" si="22"/>
        <v>#DIV/0!</v>
      </c>
      <c r="M38" s="8" t="e">
        <f t="shared" si="22"/>
        <v>#DIV/0!</v>
      </c>
      <c r="N38" s="8" t="e">
        <f t="shared" si="22"/>
        <v>#DIV/0!</v>
      </c>
      <c r="O38" s="8" t="e">
        <f t="shared" si="22"/>
        <v>#DIV/0!</v>
      </c>
      <c r="P38" s="8" t="e">
        <f t="shared" si="22"/>
        <v>#DIV/0!</v>
      </c>
      <c r="Q38" s="8" t="e">
        <f t="shared" si="22"/>
        <v>#DIV/0!</v>
      </c>
      <c r="R38" s="8" t="e">
        <f t="shared" si="22"/>
        <v>#DIV/0!</v>
      </c>
      <c r="S38" s="8" t="e">
        <f t="shared" si="22"/>
        <v>#DIV/0!</v>
      </c>
      <c r="T38" s="8" t="e">
        <f t="shared" si="22"/>
        <v>#DIV/0!</v>
      </c>
      <c r="U38" s="8" t="e">
        <f t="shared" si="22"/>
        <v>#DIV/0!</v>
      </c>
      <c r="V38" s="8" t="e">
        <f t="shared" si="22"/>
        <v>#DIV/0!</v>
      </c>
      <c r="W38" s="8" t="e">
        <f>W33/W29</f>
        <v>#DIV/0!</v>
      </c>
      <c r="X38" s="8" t="e">
        <f t="shared" ref="X38" si="23">X33/X29</f>
        <v>#DIV/0!</v>
      </c>
    </row>
    <row r="39" spans="3:24" x14ac:dyDescent="0.25">
      <c r="D39" s="1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3:24" x14ac:dyDescent="0.25">
      <c r="D40" s="1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3:24" x14ac:dyDescent="0.25">
      <c r="C41" s="4" t="s">
        <v>18</v>
      </c>
      <c r="D41" s="13"/>
      <c r="E41" s="11">
        <f>E30/(E29-E33)</f>
        <v>0.95454545454545459</v>
      </c>
      <c r="F41" s="7">
        <f t="shared" ref="F41:V41" si="24">F30/(F29-F33)</f>
        <v>0.875</v>
      </c>
      <c r="G41" s="7">
        <f t="shared" si="24"/>
        <v>0.63636363636363635</v>
      </c>
      <c r="H41" s="7">
        <f t="shared" si="24"/>
        <v>0</v>
      </c>
      <c r="I41" s="7" t="e">
        <f t="shared" si="24"/>
        <v>#DIV/0!</v>
      </c>
      <c r="J41" s="7" t="e">
        <f t="shared" si="24"/>
        <v>#DIV/0!</v>
      </c>
      <c r="K41" s="7" t="e">
        <f t="shared" si="24"/>
        <v>#DIV/0!</v>
      </c>
      <c r="L41" s="7" t="e">
        <f t="shared" si="24"/>
        <v>#DIV/0!</v>
      </c>
      <c r="M41" s="7" t="e">
        <f t="shared" si="24"/>
        <v>#DIV/0!</v>
      </c>
      <c r="N41" s="7" t="e">
        <f t="shared" si="24"/>
        <v>#DIV/0!</v>
      </c>
      <c r="O41" s="7" t="e">
        <f t="shared" si="24"/>
        <v>#DIV/0!</v>
      </c>
      <c r="P41" s="7" t="e">
        <f t="shared" si="24"/>
        <v>#DIV/0!</v>
      </c>
      <c r="Q41" s="7" t="e">
        <f t="shared" si="24"/>
        <v>#DIV/0!</v>
      </c>
      <c r="R41" s="7" t="e">
        <f t="shared" si="24"/>
        <v>#DIV/0!</v>
      </c>
      <c r="S41" s="7" t="e">
        <f t="shared" si="24"/>
        <v>#DIV/0!</v>
      </c>
      <c r="T41" s="7" t="e">
        <f t="shared" si="24"/>
        <v>#DIV/0!</v>
      </c>
      <c r="U41" s="7" t="e">
        <f t="shared" si="24"/>
        <v>#DIV/0!</v>
      </c>
      <c r="V41" s="7" t="e">
        <f t="shared" si="24"/>
        <v>#DIV/0!</v>
      </c>
      <c r="W41" s="7" t="e">
        <f>W30/(W29-W33)</f>
        <v>#DIV/0!</v>
      </c>
      <c r="X41" s="7" t="e">
        <f t="shared" ref="X41" si="25">X30/(X29-X33)</f>
        <v>#DIV/0!</v>
      </c>
    </row>
    <row r="42" spans="3:24" x14ac:dyDescent="0.25">
      <c r="C42" s="4" t="s">
        <v>19</v>
      </c>
      <c r="D42" s="13"/>
      <c r="E42" s="11">
        <f>(E32+E31)/(E29-E33)</f>
        <v>4.5454545454545456E-2</v>
      </c>
      <c r="F42" s="7">
        <f t="shared" ref="F42:V42" si="26">(F32+F31)/(F29-F33)</f>
        <v>0.125</v>
      </c>
      <c r="G42" s="7">
        <f t="shared" si="26"/>
        <v>0.36363636363636365</v>
      </c>
      <c r="H42" s="7">
        <f t="shared" si="26"/>
        <v>1</v>
      </c>
      <c r="I42" s="7" t="e">
        <f t="shared" si="26"/>
        <v>#DIV/0!</v>
      </c>
      <c r="J42" s="7" t="e">
        <f t="shared" si="26"/>
        <v>#DIV/0!</v>
      </c>
      <c r="K42" s="7" t="e">
        <f t="shared" si="26"/>
        <v>#DIV/0!</v>
      </c>
      <c r="L42" s="7" t="e">
        <f t="shared" si="26"/>
        <v>#DIV/0!</v>
      </c>
      <c r="M42" s="7" t="e">
        <f t="shared" si="26"/>
        <v>#DIV/0!</v>
      </c>
      <c r="N42" s="7" t="e">
        <f t="shared" si="26"/>
        <v>#DIV/0!</v>
      </c>
      <c r="O42" s="7" t="e">
        <f t="shared" si="26"/>
        <v>#DIV/0!</v>
      </c>
      <c r="P42" s="7" t="e">
        <f t="shared" si="26"/>
        <v>#DIV/0!</v>
      </c>
      <c r="Q42" s="7" t="e">
        <f t="shared" si="26"/>
        <v>#DIV/0!</v>
      </c>
      <c r="R42" s="7" t="e">
        <f t="shared" si="26"/>
        <v>#DIV/0!</v>
      </c>
      <c r="S42" s="7" t="e">
        <f t="shared" si="26"/>
        <v>#DIV/0!</v>
      </c>
      <c r="T42" s="7" t="e">
        <f t="shared" si="26"/>
        <v>#DIV/0!</v>
      </c>
      <c r="U42" s="7" t="e">
        <f t="shared" si="26"/>
        <v>#DIV/0!</v>
      </c>
      <c r="V42" s="7" t="e">
        <f t="shared" si="26"/>
        <v>#DIV/0!</v>
      </c>
      <c r="W42" s="7" t="e">
        <f>(W32+W31)/(W29-W33)</f>
        <v>#DIV/0!</v>
      </c>
      <c r="X42" s="7" t="e">
        <f t="shared" ref="X42" si="27">(X32+X31)/(X29-X33)</f>
        <v>#DIV/0!</v>
      </c>
    </row>
    <row r="44" spans="3:24" x14ac:dyDescent="0.25">
      <c r="C44" t="s">
        <v>28</v>
      </c>
      <c r="D44" s="15">
        <f>COUNTIF(D4:D27,"App∴ ")</f>
        <v>0</v>
      </c>
    </row>
    <row r="45" spans="3:24" x14ac:dyDescent="0.25">
      <c r="C45" t="s">
        <v>29</v>
      </c>
      <c r="D45" s="15">
        <f>COUNTIF(D4:D27,"Comp∴ ")</f>
        <v>0</v>
      </c>
    </row>
    <row r="46" spans="3:24" x14ac:dyDescent="0.25">
      <c r="C46" t="s">
        <v>30</v>
      </c>
      <c r="D46" s="15">
        <f>COUNTIF(D4:D27,"M∴ ")</f>
        <v>24</v>
      </c>
    </row>
  </sheetData>
  <autoFilter ref="A2:AI27" xr:uid="{00000000-0009-0000-0000-000000000000}"/>
  <phoneticPr fontId="2" type="noConversion"/>
  <dataValidations count="2">
    <dataValidation type="list" allowBlank="1" showInputMessage="1" showErrorMessage="1" sqref="E3:X3 D4:D29" xr:uid="{00000000-0002-0000-0000-000000000000}">
      <formula1>"App∴ ,Comp∴ ,M∴ "</formula1>
    </dataValidation>
    <dataValidation type="list" allowBlank="1" showInputMessage="1" showErrorMessage="1" sqref="E4:X27" xr:uid="{00000000-0002-0000-0000-000001000000}">
      <formula1>"P,E,A,Disp"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7" sqref="E17"/>
    </sheetView>
  </sheetViews>
  <sheetFormatPr defaultColWidth="9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 2021 2022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Auer</dc:creator>
  <cp:lastModifiedBy>AUER François</cp:lastModifiedBy>
  <dcterms:created xsi:type="dcterms:W3CDTF">2022-04-03T16:13:09Z</dcterms:created>
  <dcterms:modified xsi:type="dcterms:W3CDTF">2023-02-08T10:52:20Z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2023-01-13T18:15:50Z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b72e87e5-9c20-44a7-9f25-19e56cd66e81</vt:lpwstr>
  </property>
  <property fmtid="{D5CDD505-2E9C-101B-9397-08002B2CF9AE}" pid="8" name="MSIP_Label_736915f3-2f02-4945-8997-f2963298db46_ContentBits">
    <vt:lpwstr>1</vt:lpwstr>
  </property>
</Properties>
</file>