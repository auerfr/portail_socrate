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er\Downloads\"/>
    </mc:Choice>
  </mc:AlternateContent>
  <xr:revisionPtr revIDLastSave="0" documentId="13_ncr:1_{C734340B-D218-496F-ABCA-94E55DB144F3}" xr6:coauthVersionLast="36" xr6:coauthVersionMax="36" xr10:uidLastSave="{00000000-0000-0000-0000-000000000000}"/>
  <bookViews>
    <workbookView xWindow="0" yWindow="0" windowWidth="22980" windowHeight="8625" activeTab="1" xr2:uid="{73E6D282-480E-401C-9321-326AEF04454A}"/>
  </bookViews>
  <sheets>
    <sheet name="Montant Par tranche" sheetId="1" r:id="rId1"/>
    <sheet name="Montant Individu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C18" i="1"/>
  <c r="C17" i="1"/>
  <c r="C15" i="1"/>
  <c r="A16" i="1"/>
  <c r="A15" i="1"/>
  <c r="H2" i="2"/>
  <c r="I2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3" i="2"/>
  <c r="I23" i="2" s="1"/>
  <c r="H24" i="2"/>
  <c r="I24" i="2" s="1"/>
  <c r="H25" i="2"/>
  <c r="I25" i="2" s="1"/>
  <c r="H22" i="2"/>
  <c r="I22" i="2" s="1"/>
  <c r="H3" i="1"/>
  <c r="H4" i="1"/>
  <c r="H5" i="1"/>
  <c r="H6" i="1"/>
  <c r="H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<sst xmlns="http://schemas.openxmlformats.org/spreadsheetml/2006/main" count="130" uniqueCount="74">
  <si>
    <t>Tranche</t>
  </si>
  <si>
    <t xml:space="preserve">% </t>
  </si>
  <si>
    <t>Montant tranche Affiliés</t>
  </si>
  <si>
    <t>Cotisation Globale</t>
  </si>
  <si>
    <t>Tranche 1</t>
  </si>
  <si>
    <t>Tranche 2</t>
  </si>
  <si>
    <t>Tranche 3</t>
  </si>
  <si>
    <t>Tranche 4</t>
  </si>
  <si>
    <t>Tranche 5</t>
  </si>
  <si>
    <t>Budget Total</t>
  </si>
  <si>
    <t>Montant median Quote Part Socrate</t>
  </si>
  <si>
    <t>Capitation + Region</t>
  </si>
  <si>
    <t>budget hors capitation</t>
  </si>
  <si>
    <t>X</t>
  </si>
  <si>
    <t xml:space="preserve">(2023 = 171,70 + 4 ) </t>
  </si>
  <si>
    <t>Montant Moyen</t>
  </si>
  <si>
    <t>Column1</t>
  </si>
  <si>
    <t>Cotisation - Avance (76 €)</t>
  </si>
  <si>
    <t>Affiliation - Avance (76 €)</t>
  </si>
  <si>
    <t>Nom</t>
  </si>
  <si>
    <t>Prenom</t>
  </si>
  <si>
    <t>AGNOUNA ONANA</t>
  </si>
  <si>
    <t>Alphonse</t>
  </si>
  <si>
    <t>AUER</t>
  </si>
  <si>
    <t>François Régis</t>
  </si>
  <si>
    <t>BUR</t>
  </si>
  <si>
    <t>Patrick</t>
  </si>
  <si>
    <t>Butterlin</t>
  </si>
  <si>
    <t>Christophe</t>
  </si>
  <si>
    <t>Cadona</t>
  </si>
  <si>
    <t>Alain</t>
  </si>
  <si>
    <t>CHANSON</t>
  </si>
  <si>
    <t>Claire</t>
  </si>
  <si>
    <t>CORNELISE</t>
  </si>
  <si>
    <t>Dangoumau</t>
  </si>
  <si>
    <t>Tristan</t>
  </si>
  <si>
    <t>Dardenne</t>
  </si>
  <si>
    <t>Gilles</t>
  </si>
  <si>
    <t>DEL VECCHIO</t>
  </si>
  <si>
    <t>Jean Pierre</t>
  </si>
  <si>
    <t>DILLENSCHNEIDER</t>
  </si>
  <si>
    <t>Michel</t>
  </si>
  <si>
    <t>DUBOIS</t>
  </si>
  <si>
    <t>Jean-Luc</t>
  </si>
  <si>
    <t>Dupont</t>
  </si>
  <si>
    <t>Nicolas</t>
  </si>
  <si>
    <t>FAIVRE</t>
  </si>
  <si>
    <t>Guerné</t>
  </si>
  <si>
    <t>Dominique</t>
  </si>
  <si>
    <t>Ibba</t>
  </si>
  <si>
    <t>Jean marc</t>
  </si>
  <si>
    <t>Klein</t>
  </si>
  <si>
    <t>Thomas</t>
  </si>
  <si>
    <t>LEBOSSÉ</t>
  </si>
  <si>
    <t>Cédric</t>
  </si>
  <si>
    <t>luzerne</t>
  </si>
  <si>
    <t>Christian</t>
  </si>
  <si>
    <t>POIAREZ</t>
  </si>
  <si>
    <t>Jean Claude</t>
  </si>
  <si>
    <t>REYTER</t>
  </si>
  <si>
    <t>grégory</t>
  </si>
  <si>
    <t>ROCHE </t>
  </si>
  <si>
    <t>SUSSET</t>
  </si>
  <si>
    <t>Valérie</t>
  </si>
  <si>
    <t>Ariane</t>
  </si>
  <si>
    <t>Affilié</t>
  </si>
  <si>
    <t>TRUFFERT</t>
  </si>
  <si>
    <t>NON</t>
  </si>
  <si>
    <t>Avance</t>
  </si>
  <si>
    <t>OUI</t>
  </si>
  <si>
    <t>Column2</t>
  </si>
  <si>
    <t>Montant du</t>
  </si>
  <si>
    <t xml:space="preserve">Arrondi Sup 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</si>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</sst>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\ [$€-40C]_-;\-* #,##0\ [$€-40C]_-;_-* &quot;-&quot;??\ [$€-40C]_-;_-@_-"/>
    <numFmt numFmtId="165" formatCode="_-* #,##0.00\ [$€-40C]_-;\-* #,##0.00\ [$€-40C]_-;_-* &quot;-&quot;??\ [$€-40C]_-;_-@_-"/>
    <numFmt numFmtId="167" formatCode="_-* #,##0.0\ [$€-40C]_-;\-* #,##0.0\ [$€-40C]_-;_-* &quot;-&quot;??\ [$€-40C]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Verdana"/>
      <family val="2"/>
    </font>
    <font>
      <b/>
      <sz val="12"/>
      <name val="Verdana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Verdana"/>
      <family val="2"/>
    </font>
    <font>
      <i/>
      <sz val="12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0" fontId="3" fillId="0" borderId="0" xfId="0" applyFont="1"/>
    <xf numFmtId="44" fontId="4" fillId="0" borderId="0" xfId="1" applyFont="1"/>
    <xf numFmtId="44" fontId="0" fillId="0" borderId="0" xfId="1" applyFont="1"/>
    <xf numFmtId="44" fontId="2" fillId="0" borderId="0" xfId="1" applyFont="1"/>
    <xf numFmtId="0" fontId="5" fillId="0" borderId="0" xfId="0" applyFont="1"/>
    <xf numFmtId="44" fontId="5" fillId="0" borderId="0" xfId="1" applyFont="1"/>
    <xf numFmtId="0" fontId="6" fillId="0" borderId="0" xfId="0" applyFont="1"/>
    <xf numFmtId="0" fontId="8" fillId="0" borderId="0" xfId="0" applyFont="1"/>
    <xf numFmtId="164" fontId="8" fillId="0" borderId="0" xfId="0" applyNumberFormat="1" applyFont="1"/>
    <xf numFmtId="9" fontId="9" fillId="0" borderId="0" xfId="2" applyFont="1"/>
    <xf numFmtId="44" fontId="9" fillId="0" borderId="0" xfId="1" applyFont="1"/>
    <xf numFmtId="164" fontId="9" fillId="0" borderId="0" xfId="0" applyNumberFormat="1" applyFont="1"/>
    <xf numFmtId="44" fontId="9" fillId="0" borderId="0" xfId="0" applyNumberFormat="1" applyFont="1"/>
    <xf numFmtId="9" fontId="8" fillId="0" borderId="0" xfId="2" applyFont="1"/>
    <xf numFmtId="44" fontId="8" fillId="0" borderId="0" xfId="1" applyFont="1"/>
    <xf numFmtId="165" fontId="8" fillId="0" borderId="0" xfId="0" applyNumberFormat="1" applyFont="1"/>
    <xf numFmtId="0" fontId="9" fillId="0" borderId="0" xfId="0" applyFont="1"/>
    <xf numFmtId="9" fontId="8" fillId="0" borderId="0" xfId="0" applyNumberFormat="1" applyFont="1"/>
    <xf numFmtId="165" fontId="10" fillId="0" borderId="0" xfId="0" applyNumberFormat="1" applyFont="1"/>
    <xf numFmtId="0" fontId="11" fillId="0" borderId="0" xfId="0" applyFont="1"/>
    <xf numFmtId="0" fontId="7" fillId="0" borderId="0" xfId="0" applyFont="1"/>
    <xf numFmtId="0" fontId="7" fillId="0" borderId="0" xfId="0" applyFont="1" applyFill="1" applyBorder="1"/>
    <xf numFmtId="0" fontId="9" fillId="0" borderId="0" xfId="0" applyFont="1" applyFill="1" applyBorder="1"/>
    <xf numFmtId="167" fontId="9" fillId="0" borderId="0" xfId="0" applyNumberFormat="1" applyFont="1"/>
    <xf numFmtId="165" fontId="9" fillId="0" borderId="0" xfId="0" applyNumberFormat="1" applyFont="1"/>
    <xf numFmtId="0" fontId="12" fillId="0" borderId="0" xfId="0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_-* #,##0.00\ [$€-40C]_-;\-* #,##0.00\ [$€-40C]_-;_-* &quot;-&quot;??\ [$€-4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_-* #,##0\ [$€-40C]_-;\-* #,##0\ [$€-40C]_-;_-* &quot;-&quot;??\ [$€-4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* #,##0.00\ [$€-40C]_-;\-* #,##0.00\ [$€-40C]_-;_-* &quot;-&quot;??\ [$€-4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625BC0-3A2D-4AD1-BA54-F069D395D616}" name="Table3" displayName="Table3" ref="A1:H6" totalsRowShown="0" headerRowDxfId="12">
  <autoFilter ref="A1:H6" xr:uid="{E8F39449-C7E6-4720-8D8F-FE8F2E48EF51}"/>
  <tableColumns count="8">
    <tableColumn id="1" xr3:uid="{C4075EC4-B696-486C-9184-5300BA6355D6}" name="Tranche" dataDxfId="16"/>
    <tableColumn id="8" xr3:uid="{0A4221E1-1D6F-428D-B85E-D4A282C0136A}" name="Column2" dataDxfId="8"/>
    <tableColumn id="2" xr3:uid="{6B1ECB6D-36D2-426C-B4AD-4EB9EDB2A268}" name="% " dataDxfId="15" dataCellStyle="Percent"/>
    <tableColumn id="3" xr3:uid="{27E44F7C-6237-4D76-81DE-C72F84BEC323}" name="Montant tranche Affiliés" dataDxfId="14" dataCellStyle="Currency"/>
    <tableColumn id="4" xr3:uid="{8B6296D1-DE79-41B3-8FB3-237B3EB44D24}" name="Cotisation Globale" dataDxfId="13"/>
    <tableColumn id="5" xr3:uid="{5BDE4B28-8600-4040-B2DC-92A535F938AB}" name="Column1" dataDxfId="11"/>
    <tableColumn id="6" xr3:uid="{E58AC4F1-41F6-4DDB-89F8-A61B42AC3FE4}" name="Cotisation - Avance (76 €)" dataDxfId="9">
      <calculatedColumnFormula>E2-76</calculatedColumnFormula>
    </tableColumn>
    <tableColumn id="7" xr3:uid="{B9FB75D6-566B-4B7A-8689-B83DDEDDE8C3}" name="Affiliation - Avance (76 €)" dataDxfId="10">
      <calculatedColumnFormula>D2-76</calculatedColumnFormula>
    </tableColumn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A542C6-D58C-4437-84EE-CD0CBE52288A}" name="Table4" displayName="Table4" ref="A1:J26" totalsRowCount="1">
  <autoFilter ref="A1:J25" xr:uid="{E6749975-5787-441B-AC26-1CB165C8B6FF}"/>
  <tableColumns count="10">
    <tableColumn id="1" xr3:uid="{9DF46E02-BCBE-491D-993C-33E253B3D266}" name="Avance"/>
    <tableColumn id="2" xr3:uid="{955F2B44-2BCF-4F41-9863-B2FCBD19CC58}" name="Affilié"/>
    <tableColumn id="3" xr3:uid="{A439B56C-EFCD-4013-AED3-53B6DEAFC83E}" name="Nom" dataDxfId="7" totalsRowDxfId="3"/>
    <tableColumn id="4" xr3:uid="{4F75F90E-D602-481F-9CD3-86FDCAF982AB}" name="Prenom" dataDxfId="6" totalsRowDxfId="2"/>
    <tableColumn id="5" xr3:uid="{56D28008-AD56-481B-AD04-99E706B71568}" name="Tranche"/>
    <tableColumn id="6" xr3:uid="{CDBA100B-5A5E-414C-9B27-D1816BE0AE6A}" name="Column1"/>
    <tableColumn id="7" xr3:uid="{95FAA2D8-16EC-4C8C-9727-FFBF832E7A30}" name="Column2"/>
    <tableColumn id="8" xr3:uid="{25F66E00-0D29-4E93-B813-4FE7ACC782BA}" name="Montant du" dataDxfId="5" totalsRowDxfId="1" dataCellStyle="Currency" totalsRowCellStyle="Currency">
      <calculatedColumnFormula>IF(B2="NON",IF(A2="OUI",INDEX(Table3[#All],E2+1,7),INDEX(Table3[#All],E2+1,5)),IF(A2="OUI",INDEX(Table3[#All],E2+1,8),INDEX(Table3[#All],E2+1,4)))</calculatedColumnFormula>
    </tableColumn>
    <tableColumn id="9" xr3:uid="{80FD40D7-7693-40B6-A43E-E51834877742}" name="Arrondi Sup " dataDxfId="4" totalsRowDxfId="0" dataCellStyle="Currency" totalsRowCellStyle="Currency">
      <calculatedColumnFormula>ROUNDUP(H2,0)</calculatedColumnFormula>
    </tableColumn>
    <tableColumn id="10" xr3:uid="{C5EC5AD3-C030-4D5E-ABC5-468868BC1F18}" name="Column3" totalsRowFunction="custom">
      <totalsRowFormula>SUMIF(Table4[Column3],"X",Table4[Montant du])</totalsRow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AE9E-8E1C-4DA3-99BD-668A994822B6}">
  <dimension ref="A1:K18"/>
  <sheetViews>
    <sheetView workbookViewId="0">
      <selection activeCell="H17" sqref="H17"/>
    </sheetView>
  </sheetViews>
  <sheetFormatPr defaultRowHeight="15" x14ac:dyDescent="0.25"/>
  <cols>
    <col min="1" max="1" width="20.42578125" bestFit="1" customWidth="1"/>
    <col min="2" max="2" width="20.42578125" hidden="1" customWidth="1"/>
    <col min="3" max="3" width="10.85546875" bestFit="1" customWidth="1"/>
    <col min="4" max="4" width="24.5703125" customWidth="1"/>
    <col min="5" max="5" width="21.140625" customWidth="1"/>
    <col min="6" max="6" width="12.7109375" hidden="1" customWidth="1"/>
    <col min="7" max="7" width="46.7109375" bestFit="1" customWidth="1"/>
    <col min="8" max="8" width="26" customWidth="1"/>
  </cols>
  <sheetData>
    <row r="1" spans="1:11" ht="15.75" x14ac:dyDescent="0.25">
      <c r="A1" s="26" t="s">
        <v>0</v>
      </c>
      <c r="B1" s="26" t="s">
        <v>70</v>
      </c>
      <c r="C1" s="12" t="s">
        <v>1</v>
      </c>
      <c r="D1" s="12" t="s">
        <v>2</v>
      </c>
      <c r="E1" s="13" t="s">
        <v>3</v>
      </c>
      <c r="F1" s="13" t="s">
        <v>16</v>
      </c>
      <c r="G1" s="12" t="s">
        <v>17</v>
      </c>
      <c r="H1" s="12" t="s">
        <v>18</v>
      </c>
    </row>
    <row r="2" spans="1:11" ht="15.75" x14ac:dyDescent="0.25">
      <c r="A2" s="27" t="s">
        <v>4</v>
      </c>
      <c r="B2" s="27">
        <v>1</v>
      </c>
      <c r="C2" s="14">
        <v>-0.6</v>
      </c>
      <c r="D2" s="15">
        <v>62</v>
      </c>
      <c r="E2" s="28">
        <v>237.7</v>
      </c>
      <c r="F2" s="16"/>
      <c r="G2" s="29">
        <f>E2-76</f>
        <v>161.69999999999999</v>
      </c>
      <c r="H2" s="17">
        <f>D2-76</f>
        <v>-14</v>
      </c>
    </row>
    <row r="3" spans="1:11" ht="15.75" x14ac:dyDescent="0.25">
      <c r="A3" s="27" t="s">
        <v>5</v>
      </c>
      <c r="B3" s="27">
        <v>2</v>
      </c>
      <c r="C3" s="18">
        <v>-0.3</v>
      </c>
      <c r="D3" s="19">
        <v>107</v>
      </c>
      <c r="E3" s="20">
        <v>282.7</v>
      </c>
      <c r="F3" s="13"/>
      <c r="G3" s="29">
        <f t="shared" ref="G3:G6" si="0">E3-76</f>
        <v>206.7</v>
      </c>
      <c r="H3" s="17">
        <f t="shared" ref="H3:H6" si="1">D3-76</f>
        <v>31</v>
      </c>
      <c r="J3" s="4"/>
      <c r="K3" s="4"/>
    </row>
    <row r="4" spans="1:11" ht="15.75" x14ac:dyDescent="0.25">
      <c r="A4" s="27" t="s">
        <v>6</v>
      </c>
      <c r="B4" s="27">
        <v>3</v>
      </c>
      <c r="C4" s="18">
        <v>0</v>
      </c>
      <c r="D4" s="19">
        <v>153</v>
      </c>
      <c r="E4" s="20">
        <v>328.7</v>
      </c>
      <c r="F4" s="13"/>
      <c r="G4" s="29">
        <f t="shared" si="0"/>
        <v>252.7</v>
      </c>
      <c r="H4" s="17">
        <f t="shared" si="1"/>
        <v>77</v>
      </c>
      <c r="J4" s="4"/>
      <c r="K4" s="4"/>
    </row>
    <row r="5" spans="1:11" ht="15.75" x14ac:dyDescent="0.25">
      <c r="A5" s="27" t="s">
        <v>7</v>
      </c>
      <c r="B5" s="27">
        <v>4</v>
      </c>
      <c r="C5" s="18">
        <v>0.3</v>
      </c>
      <c r="D5" s="19">
        <v>199</v>
      </c>
      <c r="E5" s="20">
        <v>374.7</v>
      </c>
      <c r="F5" s="13"/>
      <c r="G5" s="29">
        <f t="shared" si="0"/>
        <v>298.7</v>
      </c>
      <c r="H5" s="17">
        <f t="shared" si="1"/>
        <v>123</v>
      </c>
      <c r="J5" s="4"/>
      <c r="K5" s="4"/>
    </row>
    <row r="6" spans="1:11" ht="15.75" x14ac:dyDescent="0.25">
      <c r="A6" s="27" t="s">
        <v>8</v>
      </c>
      <c r="B6" s="27">
        <v>5</v>
      </c>
      <c r="C6" s="18">
        <v>0.6</v>
      </c>
      <c r="D6" s="19">
        <v>245</v>
      </c>
      <c r="E6" s="20">
        <v>420.7</v>
      </c>
      <c r="F6" s="13"/>
      <c r="G6" s="29">
        <f t="shared" si="0"/>
        <v>344.7</v>
      </c>
      <c r="H6" s="17">
        <f t="shared" si="1"/>
        <v>169</v>
      </c>
      <c r="J6" s="4"/>
      <c r="K6" s="4"/>
    </row>
    <row r="7" spans="1:11" ht="15.75" x14ac:dyDescent="0.25">
      <c r="A7" s="21"/>
      <c r="B7" s="21"/>
      <c r="C7" s="12"/>
      <c r="D7" s="22"/>
      <c r="E7" s="20"/>
      <c r="F7" s="13"/>
      <c r="G7" s="23"/>
      <c r="H7" s="13"/>
      <c r="J7" s="4"/>
      <c r="K7" s="4"/>
    </row>
    <row r="8" spans="1:11" ht="15.75" x14ac:dyDescent="0.25">
      <c r="A8" s="21"/>
      <c r="B8" s="21"/>
      <c r="C8" s="21"/>
      <c r="D8" s="21" t="s">
        <v>9</v>
      </c>
      <c r="E8" s="16">
        <v>7500</v>
      </c>
      <c r="F8" s="16"/>
      <c r="G8" s="16" t="s">
        <v>10</v>
      </c>
      <c r="H8" s="16"/>
      <c r="J8" s="1"/>
    </row>
    <row r="9" spans="1:11" x14ac:dyDescent="0.25">
      <c r="A9" s="12" t="s">
        <v>11</v>
      </c>
      <c r="B9" s="12"/>
      <c r="C9" s="12">
        <v>175.7</v>
      </c>
      <c r="D9" s="12" t="s">
        <v>12</v>
      </c>
      <c r="E9" s="13">
        <v>3986</v>
      </c>
      <c r="F9" s="13"/>
      <c r="G9" s="12" t="s">
        <v>13</v>
      </c>
      <c r="H9" s="19">
        <v>152.72030651340995</v>
      </c>
    </row>
    <row r="10" spans="1:11" ht="15.75" x14ac:dyDescent="0.25">
      <c r="A10" s="24" t="s">
        <v>14</v>
      </c>
      <c r="B10" s="24"/>
      <c r="C10" s="24"/>
      <c r="D10" s="12"/>
      <c r="E10" s="13"/>
      <c r="F10" s="13"/>
      <c r="G10" s="12"/>
      <c r="H10" s="19"/>
    </row>
    <row r="11" spans="1:11" ht="15.75" x14ac:dyDescent="0.25">
      <c r="A11" s="25"/>
      <c r="B11" s="25"/>
      <c r="C11" s="12"/>
      <c r="D11" s="12"/>
      <c r="E11" s="13"/>
      <c r="F11" s="13"/>
      <c r="G11" s="13" t="s">
        <v>15</v>
      </c>
      <c r="H11" s="19">
        <v>166.08333333333334</v>
      </c>
    </row>
    <row r="12" spans="1:11" ht="15.75" x14ac:dyDescent="0.25">
      <c r="A12" s="2"/>
      <c r="B12" s="2"/>
      <c r="C12" s="2"/>
      <c r="D12" s="2"/>
      <c r="E12" s="3"/>
      <c r="F12" s="3"/>
    </row>
    <row r="14" spans="1:11" ht="15.75" x14ac:dyDescent="0.25">
      <c r="D14" s="5"/>
      <c r="E14" s="6"/>
      <c r="G14" s="5"/>
      <c r="H14" s="5"/>
    </row>
    <row r="15" spans="1:11" ht="15.75" x14ac:dyDescent="0.25">
      <c r="A15" s="2">
        <f>171.7*20</f>
        <v>3434</v>
      </c>
      <c r="B15" s="2"/>
      <c r="C15" s="7">
        <f>A15/3</f>
        <v>1144.6666666666667</v>
      </c>
      <c r="D15" s="2"/>
      <c r="E15" s="8"/>
      <c r="G15" s="9"/>
      <c r="H15" s="10"/>
    </row>
    <row r="16" spans="1:11" ht="15.75" x14ac:dyDescent="0.25">
      <c r="A16" s="11">
        <f>600</f>
        <v>600</v>
      </c>
      <c r="B16" s="11"/>
      <c r="C16" s="11"/>
      <c r="D16" s="11"/>
      <c r="E16" s="7"/>
    </row>
    <row r="17" spans="3:8" ht="15.75" x14ac:dyDescent="0.25">
      <c r="C17" s="31">
        <f>C15+A16</f>
        <v>1744.6666666666667</v>
      </c>
      <c r="G17" s="2"/>
      <c r="H17" s="7"/>
    </row>
    <row r="18" spans="3:8" x14ac:dyDescent="0.25">
      <c r="C18" s="31">
        <f>C17/24</f>
        <v>72.694444444444443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1C7F-4B8E-4DD6-9877-B515F319156C}">
  <dimension ref="A1:J26"/>
  <sheetViews>
    <sheetView tabSelected="1" topLeftCell="A10" workbookViewId="0">
      <selection activeCell="C32" sqref="C32"/>
    </sheetView>
  </sheetViews>
  <sheetFormatPr defaultRowHeight="15" x14ac:dyDescent="0.25"/>
  <cols>
    <col min="1" max="1" width="9.5703125" customWidth="1"/>
    <col min="3" max="3" width="23.7109375" bestFit="1" customWidth="1"/>
    <col min="4" max="4" width="18.42578125" bestFit="1" customWidth="1"/>
    <col min="5" max="5" width="10.140625" customWidth="1"/>
    <col min="6" max="7" width="11" customWidth="1"/>
    <col min="8" max="8" width="13.42578125" customWidth="1"/>
    <col min="9" max="9" width="14" customWidth="1"/>
  </cols>
  <sheetData>
    <row r="1" spans="1:10" ht="15.75" x14ac:dyDescent="0.25">
      <c r="A1" t="s">
        <v>68</v>
      </c>
      <c r="B1" t="s">
        <v>65</v>
      </c>
      <c r="C1" s="9" t="s">
        <v>19</v>
      </c>
      <c r="D1" s="9" t="s">
        <v>20</v>
      </c>
      <c r="E1" t="s">
        <v>0</v>
      </c>
      <c r="F1" t="s">
        <v>16</v>
      </c>
      <c r="G1" t="s">
        <v>70</v>
      </c>
      <c r="H1" t="s">
        <v>71</v>
      </c>
      <c r="I1" t="s">
        <v>72</v>
      </c>
      <c r="J1" t="s">
        <v>73</v>
      </c>
    </row>
    <row r="2" spans="1:10" ht="15.75" x14ac:dyDescent="0.25">
      <c r="A2" t="s">
        <v>67</v>
      </c>
      <c r="B2" t="s">
        <v>67</v>
      </c>
      <c r="C2" s="30" t="s">
        <v>21</v>
      </c>
      <c r="D2" s="30" t="s">
        <v>22</v>
      </c>
      <c r="E2">
        <v>3</v>
      </c>
      <c r="H2" s="7">
        <f>IF(B2="NON",IF(A2="OUI",INDEX(Table3[#All],E2+1,7),INDEX(Table3[#All],E2+1,5)),IF(A2="OUI",INDEX(Table3[#All],E2+1,8),INDEX(Table3[#All],E2+1,4)))</f>
        <v>328.7</v>
      </c>
      <c r="I2" s="7">
        <f>ROUNDUP(H2,0)</f>
        <v>329</v>
      </c>
    </row>
    <row r="3" spans="1:10" ht="15.75" x14ac:dyDescent="0.25">
      <c r="A3" t="s">
        <v>69</v>
      </c>
      <c r="B3" t="s">
        <v>67</v>
      </c>
      <c r="C3" s="30" t="s">
        <v>23</v>
      </c>
      <c r="D3" s="30" t="s">
        <v>24</v>
      </c>
      <c r="E3">
        <v>3</v>
      </c>
      <c r="H3" s="7">
        <f>IF(B3="NON",IF(A3="OUI",INDEX(Table3[#All],E3+1,7),INDEX(Table3[#All],E3+1,5)),IF(A3="OUI",INDEX(Table3[#All],E3+1,8),INDEX(Table3[#All],E3+1,4)))</f>
        <v>252.7</v>
      </c>
      <c r="I3" s="7">
        <f t="shared" ref="I3:I25" si="0">ROUNDUP(H3,0)</f>
        <v>253</v>
      </c>
    </row>
    <row r="4" spans="1:10" ht="15.75" x14ac:dyDescent="0.25">
      <c r="A4" t="s">
        <v>69</v>
      </c>
      <c r="B4" t="s">
        <v>67</v>
      </c>
      <c r="C4" s="30" t="s">
        <v>25</v>
      </c>
      <c r="D4" s="30" t="s">
        <v>26</v>
      </c>
      <c r="E4">
        <v>3</v>
      </c>
      <c r="H4" s="7">
        <f>IF(B4="NON",IF(A4="OUI",INDEX(Table3[#All],E4+1,7),INDEX(Table3[#All],E4+1,5)),IF(A4="OUI",INDEX(Table3[#All],E4+1,8),INDEX(Table3[#All],E4+1,4)))</f>
        <v>252.7</v>
      </c>
      <c r="I4" s="7">
        <f t="shared" si="0"/>
        <v>253</v>
      </c>
    </row>
    <row r="5" spans="1:10" ht="15.75" x14ac:dyDescent="0.25">
      <c r="A5" t="s">
        <v>69</v>
      </c>
      <c r="B5" t="s">
        <v>67</v>
      </c>
      <c r="C5" s="30" t="s">
        <v>27</v>
      </c>
      <c r="D5" s="30" t="s">
        <v>28</v>
      </c>
      <c r="E5">
        <v>4</v>
      </c>
      <c r="H5" s="7">
        <f>IF(B5="NON",IF(A5="OUI",INDEX(Table3[#All],E5+1,7),INDEX(Table3[#All],E5+1,5)),IF(A5="OUI",INDEX(Table3[#All],E5+1,8),INDEX(Table3[#All],E5+1,4)))</f>
        <v>298.7</v>
      </c>
      <c r="I5" s="7">
        <f t="shared" si="0"/>
        <v>299</v>
      </c>
      <c r="J5" t="s">
        <v>13</v>
      </c>
    </row>
    <row r="6" spans="1:10" ht="15.75" x14ac:dyDescent="0.25">
      <c r="A6" t="s">
        <v>69</v>
      </c>
      <c r="B6" t="s">
        <v>67</v>
      </c>
      <c r="C6" s="30" t="s">
        <v>29</v>
      </c>
      <c r="D6" s="30" t="s">
        <v>30</v>
      </c>
      <c r="E6">
        <v>4</v>
      </c>
      <c r="H6" s="7">
        <f>IF(B6="NON",IF(A6="OUI",INDEX(Table3[#All],E6+1,7),INDEX(Table3[#All],E6+1,5)),IF(A6="OUI",INDEX(Table3[#All],E6+1,8),INDEX(Table3[#All],E6+1,4)))</f>
        <v>298.7</v>
      </c>
      <c r="I6" s="7">
        <f t="shared" si="0"/>
        <v>299</v>
      </c>
    </row>
    <row r="7" spans="1:10" ht="15.75" x14ac:dyDescent="0.25">
      <c r="A7" t="s">
        <v>69</v>
      </c>
      <c r="B7" t="s">
        <v>67</v>
      </c>
      <c r="C7" s="30" t="s">
        <v>31</v>
      </c>
      <c r="D7" s="30" t="s">
        <v>32</v>
      </c>
      <c r="E7">
        <v>4</v>
      </c>
      <c r="H7" s="7">
        <f>IF(B7="NON",IF(A7="OUI",INDEX(Table3[#All],E7+1,7),INDEX(Table3[#All],E7+1,5)),IF(A7="OUI",INDEX(Table3[#All],E7+1,8),INDEX(Table3[#All],E7+1,4)))</f>
        <v>298.7</v>
      </c>
      <c r="I7" s="7">
        <f t="shared" si="0"/>
        <v>299</v>
      </c>
    </row>
    <row r="8" spans="1:10" ht="15.75" x14ac:dyDescent="0.25">
      <c r="A8" t="s">
        <v>69</v>
      </c>
      <c r="B8" t="s">
        <v>67</v>
      </c>
      <c r="C8" s="30" t="s">
        <v>33</v>
      </c>
      <c r="D8" s="30" t="s">
        <v>32</v>
      </c>
      <c r="E8">
        <v>5</v>
      </c>
      <c r="H8" s="7">
        <f>IF(B8="NON",IF(A8="OUI",INDEX(Table3[#All],E8+1,7),INDEX(Table3[#All],E8+1,5)),IF(A8="OUI",INDEX(Table3[#All],E8+1,8),INDEX(Table3[#All],E8+1,4)))</f>
        <v>344.7</v>
      </c>
      <c r="I8" s="7">
        <f t="shared" si="0"/>
        <v>345</v>
      </c>
      <c r="J8" t="s">
        <v>13</v>
      </c>
    </row>
    <row r="9" spans="1:10" ht="15.75" x14ac:dyDescent="0.25">
      <c r="A9" t="s">
        <v>69</v>
      </c>
      <c r="B9" t="s">
        <v>67</v>
      </c>
      <c r="C9" s="30" t="s">
        <v>34</v>
      </c>
      <c r="D9" s="30" t="s">
        <v>35</v>
      </c>
      <c r="E9">
        <v>3</v>
      </c>
      <c r="H9" s="7">
        <f>IF(B9="NON",IF(A9="OUI",INDEX(Table3[#All],E9+1,7),INDEX(Table3[#All],E9+1,5)),IF(A9="OUI",INDEX(Table3[#All],E9+1,8),INDEX(Table3[#All],E9+1,4)))</f>
        <v>252.7</v>
      </c>
      <c r="I9" s="7">
        <f t="shared" si="0"/>
        <v>253</v>
      </c>
    </row>
    <row r="10" spans="1:10" ht="15.75" x14ac:dyDescent="0.25">
      <c r="A10" t="s">
        <v>69</v>
      </c>
      <c r="B10" t="s">
        <v>67</v>
      </c>
      <c r="C10" s="30" t="s">
        <v>36</v>
      </c>
      <c r="D10" s="30" t="s">
        <v>37</v>
      </c>
      <c r="E10">
        <v>4</v>
      </c>
      <c r="H10" s="7">
        <f>IF(B10="NON",IF(A10="OUI",INDEX(Table3[#All],E10+1,7),INDEX(Table3[#All],E10+1,5)),IF(A10="OUI",INDEX(Table3[#All],E10+1,8),INDEX(Table3[#All],E10+1,4)))</f>
        <v>298.7</v>
      </c>
      <c r="I10" s="7">
        <f t="shared" si="0"/>
        <v>299</v>
      </c>
    </row>
    <row r="11" spans="1:10" ht="15.75" x14ac:dyDescent="0.25">
      <c r="A11" t="s">
        <v>69</v>
      </c>
      <c r="B11" t="s">
        <v>67</v>
      </c>
      <c r="C11" s="30" t="s">
        <v>38</v>
      </c>
      <c r="D11" s="30" t="s">
        <v>39</v>
      </c>
      <c r="E11">
        <v>3</v>
      </c>
      <c r="H11" s="7">
        <f>IF(B11="NON",IF(A11="OUI",INDEX(Table3[#All],E11+1,7),INDEX(Table3[#All],E11+1,5)),IF(A11="OUI",INDEX(Table3[#All],E11+1,8),INDEX(Table3[#All],E11+1,4)))</f>
        <v>252.7</v>
      </c>
      <c r="I11" s="7">
        <f t="shared" si="0"/>
        <v>253</v>
      </c>
    </row>
    <row r="12" spans="1:10" ht="15.75" x14ac:dyDescent="0.25">
      <c r="A12" t="s">
        <v>67</v>
      </c>
      <c r="B12" t="s">
        <v>67</v>
      </c>
      <c r="C12" s="30" t="s">
        <v>40</v>
      </c>
      <c r="D12" s="30" t="s">
        <v>41</v>
      </c>
      <c r="E12">
        <v>3</v>
      </c>
      <c r="H12" s="7">
        <f>IF(B12="NON",IF(A12="OUI",INDEX(Table3[#All],E12+1,7),INDEX(Table3[#All],E12+1,5)),IF(A12="OUI",INDEX(Table3[#All],E12+1,8),INDEX(Table3[#All],E12+1,4)))</f>
        <v>328.7</v>
      </c>
      <c r="I12" s="7">
        <f t="shared" si="0"/>
        <v>329</v>
      </c>
    </row>
    <row r="13" spans="1:10" ht="15.75" x14ac:dyDescent="0.25">
      <c r="A13" t="s">
        <v>69</v>
      </c>
      <c r="B13" t="s">
        <v>67</v>
      </c>
      <c r="C13" s="30" t="s">
        <v>42</v>
      </c>
      <c r="D13" s="30" t="s">
        <v>43</v>
      </c>
      <c r="E13">
        <v>3</v>
      </c>
      <c r="H13" s="7">
        <f>IF(B13="NON",IF(A13="OUI",INDEX(Table3[#All],E13+1,7),INDEX(Table3[#All],E13+1,5)),IF(A13="OUI",INDEX(Table3[#All],E13+1,8),INDEX(Table3[#All],E13+1,4)))</f>
        <v>252.7</v>
      </c>
      <c r="I13" s="7">
        <f t="shared" si="0"/>
        <v>253</v>
      </c>
      <c r="J13" t="s">
        <v>13</v>
      </c>
    </row>
    <row r="14" spans="1:10" ht="15.75" x14ac:dyDescent="0.25">
      <c r="A14" t="s">
        <v>69</v>
      </c>
      <c r="B14" t="s">
        <v>69</v>
      </c>
      <c r="C14" s="30" t="s">
        <v>44</v>
      </c>
      <c r="D14" s="30" t="s">
        <v>45</v>
      </c>
      <c r="E14">
        <v>3</v>
      </c>
      <c r="H14" s="7">
        <f>IF(B14="NON",IF(A14="OUI",INDEX(Table3[#All],E14+1,7),INDEX(Table3[#All],E14+1,5)),IF(A14="OUI",INDEX(Table3[#All],E14+1,8),INDEX(Table3[#All],E14+1,4)))</f>
        <v>77</v>
      </c>
      <c r="I14" s="7">
        <f t="shared" si="0"/>
        <v>77</v>
      </c>
    </row>
    <row r="15" spans="1:10" ht="15.75" x14ac:dyDescent="0.25">
      <c r="A15" t="s">
        <v>69</v>
      </c>
      <c r="B15" t="s">
        <v>67</v>
      </c>
      <c r="C15" s="30" t="s">
        <v>46</v>
      </c>
      <c r="D15" s="30" t="s">
        <v>30</v>
      </c>
      <c r="E15">
        <v>4</v>
      </c>
      <c r="H15" s="7">
        <f>IF(B15="NON",IF(A15="OUI",INDEX(Table3[#All],E15+1,7),INDEX(Table3[#All],E15+1,5)),IF(A15="OUI",INDEX(Table3[#All],E15+1,8),INDEX(Table3[#All],E15+1,4)))</f>
        <v>298.7</v>
      </c>
      <c r="I15" s="7">
        <f t="shared" si="0"/>
        <v>299</v>
      </c>
    </row>
    <row r="16" spans="1:10" ht="15.75" x14ac:dyDescent="0.25">
      <c r="A16" t="s">
        <v>69</v>
      </c>
      <c r="B16" t="s">
        <v>69</v>
      </c>
      <c r="C16" s="30" t="s">
        <v>47</v>
      </c>
      <c r="D16" s="30" t="s">
        <v>48</v>
      </c>
      <c r="E16">
        <v>2</v>
      </c>
      <c r="H16" s="7">
        <f>IF(B16="NON",IF(A16="OUI",INDEX(Table3[#All],E16+1,7),INDEX(Table3[#All],E16+1,5)),IF(A16="OUI",INDEX(Table3[#All],E16+1,8),INDEX(Table3[#All],E16+1,4)))</f>
        <v>31</v>
      </c>
      <c r="I16" s="7">
        <f t="shared" si="0"/>
        <v>31</v>
      </c>
    </row>
    <row r="17" spans="1:10" ht="15.75" x14ac:dyDescent="0.25">
      <c r="A17" t="s">
        <v>69</v>
      </c>
      <c r="B17" t="s">
        <v>67</v>
      </c>
      <c r="C17" s="30" t="s">
        <v>49</v>
      </c>
      <c r="D17" s="30" t="s">
        <v>50</v>
      </c>
      <c r="E17">
        <v>3</v>
      </c>
      <c r="H17" s="7">
        <f>IF(B17="NON",IF(A17="OUI",INDEX(Table3[#All],E17+1,7),INDEX(Table3[#All],E17+1,5)),IF(A17="OUI",INDEX(Table3[#All],E17+1,8),INDEX(Table3[#All],E17+1,4)))</f>
        <v>252.7</v>
      </c>
      <c r="I17" s="7">
        <f t="shared" si="0"/>
        <v>253</v>
      </c>
    </row>
    <row r="18" spans="1:10" ht="15.75" x14ac:dyDescent="0.25">
      <c r="A18" t="s">
        <v>69</v>
      </c>
      <c r="B18" t="s">
        <v>69</v>
      </c>
      <c r="C18" s="30" t="s">
        <v>51</v>
      </c>
      <c r="D18" s="30" t="s">
        <v>52</v>
      </c>
      <c r="E18">
        <v>3</v>
      </c>
      <c r="H18" s="7">
        <f>IF(B18="NON",IF(A18="OUI",INDEX(Table3[#All],E18+1,7),INDEX(Table3[#All],E18+1,5)),IF(A18="OUI",INDEX(Table3[#All],E18+1,8),INDEX(Table3[#All],E18+1,4)))</f>
        <v>77</v>
      </c>
      <c r="I18" s="7">
        <f t="shared" si="0"/>
        <v>77</v>
      </c>
    </row>
    <row r="19" spans="1:10" ht="15.75" x14ac:dyDescent="0.25">
      <c r="A19" t="s">
        <v>69</v>
      </c>
      <c r="B19" t="s">
        <v>67</v>
      </c>
      <c r="C19" s="30" t="s">
        <v>53</v>
      </c>
      <c r="D19" s="30" t="s">
        <v>54</v>
      </c>
      <c r="E19">
        <v>3</v>
      </c>
      <c r="H19" s="7">
        <f>IF(B19="NON",IF(A19="OUI",INDEX(Table3[#All],E19+1,7),INDEX(Table3[#All],E19+1,5)),IF(A19="OUI",INDEX(Table3[#All],E19+1,8),INDEX(Table3[#All],E19+1,4)))</f>
        <v>252.7</v>
      </c>
      <c r="I19" s="7">
        <f t="shared" si="0"/>
        <v>253</v>
      </c>
    </row>
    <row r="20" spans="1:10" ht="15.75" x14ac:dyDescent="0.25">
      <c r="A20" t="s">
        <v>69</v>
      </c>
      <c r="B20" t="s">
        <v>67</v>
      </c>
      <c r="C20" s="30" t="s">
        <v>55</v>
      </c>
      <c r="D20" s="30" t="s">
        <v>56</v>
      </c>
      <c r="E20">
        <v>3</v>
      </c>
      <c r="H20" s="7">
        <f>IF(B20="NON",IF(A20="OUI",INDEX(Table3[#All],E20+1,7),INDEX(Table3[#All],E20+1,5)),IF(A20="OUI",INDEX(Table3[#All],E20+1,8),INDEX(Table3[#All],E20+1,4)))</f>
        <v>252.7</v>
      </c>
      <c r="I20" s="7">
        <f t="shared" si="0"/>
        <v>253</v>
      </c>
    </row>
    <row r="21" spans="1:10" ht="15.75" x14ac:dyDescent="0.25">
      <c r="A21" t="s">
        <v>69</v>
      </c>
      <c r="B21" t="s">
        <v>67</v>
      </c>
      <c r="C21" s="30" t="s">
        <v>57</v>
      </c>
      <c r="D21" s="30" t="s">
        <v>58</v>
      </c>
      <c r="E21">
        <v>2</v>
      </c>
      <c r="H21" s="7">
        <f>IF(B21="NON",IF(A21="OUI",INDEX(Table3[#All],E21+1,7),INDEX(Table3[#All],E21+1,5)),IF(A21="OUI",INDEX(Table3[#All],E21+1,8),INDEX(Table3[#All],E21+1,4)))</f>
        <v>206.7</v>
      </c>
      <c r="I21" s="7">
        <f t="shared" si="0"/>
        <v>207</v>
      </c>
    </row>
    <row r="22" spans="1:10" ht="15.75" x14ac:dyDescent="0.25">
      <c r="A22" t="s">
        <v>69</v>
      </c>
      <c r="B22" t="s">
        <v>69</v>
      </c>
      <c r="C22" s="30" t="s">
        <v>59</v>
      </c>
      <c r="D22" s="30" t="s">
        <v>60</v>
      </c>
      <c r="E22">
        <v>4</v>
      </c>
      <c r="H22" s="7">
        <f>IF(B22="NON",IF(A22="OUI",INDEX(Table3[#All],E22+1,7),INDEX(Table3[#All],E22+1,5)),IF(A22="OUI",INDEX(Table3[#All],E22+1,8),INDEX(Table3[#All],E22+1,4)))</f>
        <v>123</v>
      </c>
      <c r="I22" s="7">
        <f t="shared" si="0"/>
        <v>123</v>
      </c>
    </row>
    <row r="23" spans="1:10" ht="15.75" x14ac:dyDescent="0.25">
      <c r="A23" t="s">
        <v>69</v>
      </c>
      <c r="B23" t="s">
        <v>67</v>
      </c>
      <c r="C23" s="30" t="s">
        <v>61</v>
      </c>
      <c r="D23" s="30" t="s">
        <v>48</v>
      </c>
      <c r="E23">
        <v>4</v>
      </c>
      <c r="H23" s="7">
        <f>IF(B23="NON",IF(A23="OUI",INDEX(Table3[#All],E23+1,7),INDEX(Table3[#All],E23+1,5)),IF(A23="OUI",INDEX(Table3[#All],E23+1,8),INDEX(Table3[#All],E23+1,4)))</f>
        <v>298.7</v>
      </c>
      <c r="I23" s="7">
        <f t="shared" si="0"/>
        <v>299</v>
      </c>
    </row>
    <row r="24" spans="1:10" ht="15.75" x14ac:dyDescent="0.25">
      <c r="A24" t="s">
        <v>69</v>
      </c>
      <c r="B24" t="s">
        <v>67</v>
      </c>
      <c r="C24" s="30" t="s">
        <v>62</v>
      </c>
      <c r="D24" s="30" t="s">
        <v>63</v>
      </c>
      <c r="E24">
        <v>3</v>
      </c>
      <c r="H24" s="7">
        <f>IF(B24="NON",IF(A24="OUI",INDEX(Table3[#All],E24+1,7),INDEX(Table3[#All],E24+1,5)),IF(A24="OUI",INDEX(Table3[#All],E24+1,8),INDEX(Table3[#All],E24+1,4)))</f>
        <v>252.7</v>
      </c>
      <c r="I24" s="7">
        <f t="shared" si="0"/>
        <v>253</v>
      </c>
    </row>
    <row r="25" spans="1:10" ht="15.75" x14ac:dyDescent="0.25">
      <c r="A25" t="s">
        <v>69</v>
      </c>
      <c r="B25" t="s">
        <v>67</v>
      </c>
      <c r="C25" s="30" t="s">
        <v>66</v>
      </c>
      <c r="D25" s="30" t="s">
        <v>64</v>
      </c>
      <c r="E25">
        <v>3</v>
      </c>
      <c r="H25" s="7">
        <f>IF(B25="NON",IF(A25="OUI",INDEX(Table3[#All],E25+1,7),INDEX(Table3[#All],E25+1,5)),IF(A25="OUI",INDEX(Table3[#All],E25+1,8),INDEX(Table3[#All],E25+1,4)))</f>
        <v>252.7</v>
      </c>
      <c r="I25" s="7">
        <f t="shared" si="0"/>
        <v>253</v>
      </c>
      <c r="J25" t="s">
        <v>13</v>
      </c>
    </row>
    <row r="26" spans="1:10" ht="15.75" x14ac:dyDescent="0.25">
      <c r="C26" s="30"/>
      <c r="D26" s="30"/>
      <c r="H26" s="7"/>
      <c r="I26" s="7"/>
      <c r="J26">
        <f>SUMIF(Table4[Column3],"X",Table4[Montant du])</f>
        <v>1148.8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Montant Par tranche</vt:lpstr>
      <vt:lpstr>Montant Individuel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AUER François</dc:creator>
  <cp:lastModifiedBy>AUER François</cp:lastModifiedBy>
  <dcterms:created xsi:type="dcterms:W3CDTF">2023-02-07T08:51:27Z</dcterms:created>
  <dcterms:modified xsi:type="dcterms:W3CDTF">2023-02-07T12:49:54Z</dcterms:modified>
</cp:coreProperties>
</file>