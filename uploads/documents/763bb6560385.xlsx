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AAA FM\AA SOCRATE\"/>
    </mc:Choice>
  </mc:AlternateContent>
  <xr:revisionPtr revIDLastSave="0" documentId="13_ncr:1_{47800D3B-4487-428B-93BC-ECC43E743F4F}" xr6:coauthVersionLast="47" xr6:coauthVersionMax="47" xr10:uidLastSave="{00000000-0000-0000-0000-000000000000}"/>
  <bookViews>
    <workbookView xWindow="-48" yWindow="-48" windowWidth="23136" windowHeight="12336" activeTab="3" xr2:uid="{00000000-000D-0000-FFFF-FFFF00000000}"/>
  </bookViews>
  <sheets>
    <sheet name="2022-2023" sheetId="4" r:id="rId1"/>
    <sheet name="2023-2024" sheetId="3" r:id="rId2"/>
    <sheet name="2024-2025" sheetId="2" r:id="rId3"/>
    <sheet name="2025-2026" sheetId="5" r:id="rId4"/>
  </sheets>
  <definedNames>
    <definedName name="_xlnm._FilterDatabase" localSheetId="2" hidden="1">'2024-2025'!$A$2:$AK$39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" i="5" l="1"/>
  <c r="AF6" i="5"/>
  <c r="AF8" i="5"/>
  <c r="AF9" i="5"/>
  <c r="AF12" i="5"/>
  <c r="AF16" i="5"/>
  <c r="AF17" i="5"/>
  <c r="AF18" i="5"/>
  <c r="AF26" i="5"/>
  <c r="AF29" i="5"/>
  <c r="AF30" i="5"/>
  <c r="D56" i="5"/>
  <c r="D55" i="5"/>
  <c r="D54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Z32" i="5"/>
  <c r="AB32" i="5" s="1"/>
  <c r="Z31" i="5"/>
  <c r="Z30" i="5"/>
  <c r="AC30" i="5" s="1"/>
  <c r="Z29" i="5"/>
  <c r="AC29" i="5" s="1"/>
  <c r="Z28" i="5"/>
  <c r="AB28" i="5" s="1"/>
  <c r="Z27" i="5"/>
  <c r="AC27" i="5" s="1"/>
  <c r="Z26" i="5"/>
  <c r="AD26" i="5" s="1"/>
  <c r="Z25" i="5"/>
  <c r="AC25" i="5" s="1"/>
  <c r="Z24" i="5"/>
  <c r="AB24" i="5" s="1"/>
  <c r="Z23" i="5"/>
  <c r="AC23" i="5" s="1"/>
  <c r="Z22" i="5"/>
  <c r="AD22" i="5" s="1"/>
  <c r="Z21" i="5"/>
  <c r="AB21" i="5" s="1"/>
  <c r="Z20" i="5"/>
  <c r="AA20" i="5" s="1"/>
  <c r="Z19" i="5"/>
  <c r="Z18" i="5"/>
  <c r="AD18" i="5" s="1"/>
  <c r="Z17" i="5"/>
  <c r="AC17" i="5" s="1"/>
  <c r="Z16" i="5"/>
  <c r="AB16" i="5" s="1"/>
  <c r="Z15" i="5"/>
  <c r="AC15" i="5" s="1"/>
  <c r="Z14" i="5"/>
  <c r="AB14" i="5" s="1"/>
  <c r="Z13" i="5"/>
  <c r="AA13" i="5" s="1"/>
  <c r="Z12" i="5"/>
  <c r="AD12" i="5" s="1"/>
  <c r="Z11" i="5"/>
  <c r="AD11" i="5" s="1"/>
  <c r="Z10" i="5"/>
  <c r="AC10" i="5" s="1"/>
  <c r="Z9" i="5"/>
  <c r="AA9" i="5" s="1"/>
  <c r="Z8" i="5"/>
  <c r="AB8" i="5" s="1"/>
  <c r="Z7" i="5"/>
  <c r="AC7" i="5" s="1"/>
  <c r="Z6" i="5"/>
  <c r="AD6" i="5" s="1"/>
  <c r="Z5" i="5"/>
  <c r="AB5" i="5" s="1"/>
  <c r="Z4" i="5"/>
  <c r="AC4" i="5" s="1"/>
  <c r="Z2" i="5"/>
  <c r="AA1" i="5"/>
  <c r="AB9" i="2"/>
  <c r="AC9" i="2" s="1"/>
  <c r="AF9" i="2"/>
  <c r="AB24" i="2"/>
  <c r="AC24" i="2" s="1"/>
  <c r="AF24" i="2"/>
  <c r="Y28" i="4"/>
  <c r="Y27" i="4"/>
  <c r="Y16" i="4"/>
  <c r="Y14" i="4"/>
  <c r="Y13" i="4"/>
  <c r="Y12" i="4"/>
  <c r="Y5" i="4"/>
  <c r="X42" i="2"/>
  <c r="Y42" i="2"/>
  <c r="X43" i="2"/>
  <c r="Y43" i="2"/>
  <c r="X44" i="2"/>
  <c r="Y44" i="2"/>
  <c r="X45" i="2"/>
  <c r="Y45" i="2"/>
  <c r="F48" i="4"/>
  <c r="G48" i="4"/>
  <c r="I48" i="4"/>
  <c r="K48" i="4"/>
  <c r="L48" i="4"/>
  <c r="M48" i="4"/>
  <c r="N48" i="4"/>
  <c r="O48" i="4"/>
  <c r="P48" i="4"/>
  <c r="Q48" i="4"/>
  <c r="F47" i="4"/>
  <c r="G47" i="4"/>
  <c r="I47" i="4"/>
  <c r="K47" i="4"/>
  <c r="L47" i="4"/>
  <c r="M47" i="4"/>
  <c r="N47" i="4"/>
  <c r="O47" i="4"/>
  <c r="P47" i="4"/>
  <c r="Q47" i="4"/>
  <c r="F41" i="4"/>
  <c r="G41" i="4"/>
  <c r="I41" i="4"/>
  <c r="K41" i="4"/>
  <c r="L41" i="4"/>
  <c r="M41" i="4"/>
  <c r="N41" i="4"/>
  <c r="O41" i="4"/>
  <c r="P41" i="4"/>
  <c r="Q41" i="4"/>
  <c r="F42" i="4"/>
  <c r="G42" i="4"/>
  <c r="I42" i="4"/>
  <c r="K42" i="4"/>
  <c r="L42" i="4"/>
  <c r="M42" i="4"/>
  <c r="N42" i="4"/>
  <c r="O42" i="4"/>
  <c r="P42" i="4"/>
  <c r="Q42" i="4"/>
  <c r="F43" i="4"/>
  <c r="G43" i="4"/>
  <c r="I43" i="4"/>
  <c r="K43" i="4"/>
  <c r="L43" i="4"/>
  <c r="M43" i="4"/>
  <c r="N43" i="4"/>
  <c r="O43" i="4"/>
  <c r="P43" i="4"/>
  <c r="Q43" i="4"/>
  <c r="F44" i="4"/>
  <c r="G44" i="4"/>
  <c r="I44" i="4"/>
  <c r="K44" i="4"/>
  <c r="L44" i="4"/>
  <c r="M44" i="4"/>
  <c r="N44" i="4"/>
  <c r="O44" i="4"/>
  <c r="P44" i="4"/>
  <c r="Q44" i="4"/>
  <c r="Z9" i="3"/>
  <c r="AA9" i="3" s="1"/>
  <c r="AD9" i="3"/>
  <c r="Z30" i="3"/>
  <c r="AA30" i="3" s="1"/>
  <c r="AD30" i="3"/>
  <c r="AB2" i="2"/>
  <c r="AB4" i="2"/>
  <c r="AC4" i="2" s="1"/>
  <c r="AF4" i="2"/>
  <c r="D52" i="4"/>
  <c r="D51" i="4"/>
  <c r="D50" i="4"/>
  <c r="D58" i="2"/>
  <c r="D57" i="3"/>
  <c r="D56" i="3"/>
  <c r="D55" i="3"/>
  <c r="S26" i="4"/>
  <c r="T26" i="4" s="1"/>
  <c r="W26" i="4"/>
  <c r="S9" i="4"/>
  <c r="T9" i="4"/>
  <c r="U9" i="4"/>
  <c r="V9" i="4"/>
  <c r="W9" i="4"/>
  <c r="S10" i="4"/>
  <c r="U10" i="4" s="1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S28" i="4"/>
  <c r="W28" i="4" s="1"/>
  <c r="S27" i="4"/>
  <c r="U27" i="4" s="1"/>
  <c r="S25" i="4"/>
  <c r="W25" i="4" s="1"/>
  <c r="S24" i="4"/>
  <c r="U24" i="4" s="1"/>
  <c r="S23" i="4"/>
  <c r="W23" i="4" s="1"/>
  <c r="S22" i="4"/>
  <c r="U22" i="4" s="1"/>
  <c r="S21" i="4"/>
  <c r="W21" i="4" s="1"/>
  <c r="S20" i="4"/>
  <c r="W20" i="4" s="1"/>
  <c r="S19" i="4"/>
  <c r="T19" i="4" s="1"/>
  <c r="S18" i="4"/>
  <c r="U18" i="4" s="1"/>
  <c r="S17" i="4"/>
  <c r="V17" i="4" s="1"/>
  <c r="S16" i="4"/>
  <c r="V16" i="4" s="1"/>
  <c r="S15" i="4"/>
  <c r="V15" i="4" s="1"/>
  <c r="S14" i="4"/>
  <c r="U14" i="4" s="1"/>
  <c r="S13" i="4"/>
  <c r="U13" i="4" s="1"/>
  <c r="S12" i="4"/>
  <c r="U12" i="4" s="1"/>
  <c r="S11" i="4"/>
  <c r="U11" i="4" s="1"/>
  <c r="S8" i="4"/>
  <c r="W8" i="4" s="1"/>
  <c r="S7" i="4"/>
  <c r="U7" i="4" s="1"/>
  <c r="S6" i="4"/>
  <c r="V6" i="4" s="1"/>
  <c r="S5" i="4"/>
  <c r="V5" i="4" s="1"/>
  <c r="S4" i="4"/>
  <c r="W4" i="4" s="1"/>
  <c r="T1" i="4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Z33" i="3"/>
  <c r="AB33" i="3" s="1"/>
  <c r="Z32" i="3"/>
  <c r="AB32" i="3" s="1"/>
  <c r="Z31" i="3"/>
  <c r="AC31" i="3" s="1"/>
  <c r="Z29" i="3"/>
  <c r="AA29" i="3" s="1"/>
  <c r="Z28" i="3"/>
  <c r="AD28" i="3" s="1"/>
  <c r="Z27" i="3"/>
  <c r="AD27" i="3" s="1"/>
  <c r="Z26" i="3"/>
  <c r="AB26" i="3" s="1"/>
  <c r="Z25" i="3"/>
  <c r="AB25" i="3" s="1"/>
  <c r="Z24" i="3"/>
  <c r="AA24" i="3" s="1"/>
  <c r="Z23" i="3"/>
  <c r="AB23" i="3" s="1"/>
  <c r="Z22" i="3"/>
  <c r="AD22" i="3" s="1"/>
  <c r="Z21" i="3"/>
  <c r="Z20" i="3"/>
  <c r="AA20" i="3" s="1"/>
  <c r="Z19" i="3"/>
  <c r="AA19" i="3" s="1"/>
  <c r="Z18" i="3"/>
  <c r="AB18" i="3" s="1"/>
  <c r="Z17" i="3"/>
  <c r="AC17" i="3" s="1"/>
  <c r="Z16" i="3"/>
  <c r="AD16" i="3" s="1"/>
  <c r="Z15" i="3"/>
  <c r="AB15" i="3" s="1"/>
  <c r="Z14" i="3"/>
  <c r="Z13" i="3"/>
  <c r="AB13" i="3" s="1"/>
  <c r="Z12" i="3"/>
  <c r="AD12" i="3" s="1"/>
  <c r="Z11" i="3"/>
  <c r="Z10" i="3"/>
  <c r="AB10" i="3" s="1"/>
  <c r="Z8" i="3"/>
  <c r="Z7" i="3"/>
  <c r="AB7" i="3" s="1"/>
  <c r="Z6" i="3"/>
  <c r="AD6" i="3" s="1"/>
  <c r="Z5" i="3"/>
  <c r="AD5" i="3" s="1"/>
  <c r="Z4" i="3"/>
  <c r="AB4" i="3" s="1"/>
  <c r="AA1" i="3"/>
  <c r="AD17" i="5" l="1"/>
  <c r="AD15" i="5"/>
  <c r="AD21" i="5"/>
  <c r="P39" i="5"/>
  <c r="O39" i="5"/>
  <c r="T39" i="5"/>
  <c r="AA15" i="5"/>
  <c r="AD25" i="5"/>
  <c r="AA24" i="5"/>
  <c r="AB15" i="5"/>
  <c r="AE15" i="5" s="1"/>
  <c r="AB23" i="5"/>
  <c r="AE23" i="5" s="1"/>
  <c r="Q39" i="5"/>
  <c r="Q46" i="5" s="1"/>
  <c r="AB29" i="5"/>
  <c r="AE29" i="5" s="1"/>
  <c r="AD23" i="5"/>
  <c r="R39" i="5"/>
  <c r="R46" i="5" s="1"/>
  <c r="N39" i="5"/>
  <c r="N51" i="5" s="1"/>
  <c r="AA23" i="5"/>
  <c r="AB10" i="5"/>
  <c r="AE10" i="5" s="1"/>
  <c r="AA28" i="5"/>
  <c r="AD10" i="5"/>
  <c r="AD29" i="5"/>
  <c r="AA14" i="5"/>
  <c r="AC32" i="5"/>
  <c r="AE32" i="5" s="1"/>
  <c r="AF32" i="5" s="1"/>
  <c r="AD7" i="5"/>
  <c r="AC21" i="5"/>
  <c r="AE21" i="5" s="1"/>
  <c r="AB25" i="5"/>
  <c r="AE25" i="5" s="1"/>
  <c r="AD32" i="5"/>
  <c r="AC8" i="5"/>
  <c r="AE8" i="5" s="1"/>
  <c r="AA8" i="5"/>
  <c r="AC22" i="5"/>
  <c r="AD8" i="5"/>
  <c r="AD4" i="5"/>
  <c r="G39" i="5"/>
  <c r="G48" i="5" s="1"/>
  <c r="S39" i="5"/>
  <c r="S48" i="5" s="1"/>
  <c r="E39" i="5"/>
  <c r="E48" i="5" s="1"/>
  <c r="U39" i="5"/>
  <c r="U48" i="5" s="1"/>
  <c r="AB20" i="5"/>
  <c r="AC24" i="5"/>
  <c r="AE24" i="5" s="1"/>
  <c r="V39" i="5"/>
  <c r="V52" i="5" s="1"/>
  <c r="AC20" i="5"/>
  <c r="AD24" i="5"/>
  <c r="AA32" i="5"/>
  <c r="M39" i="5"/>
  <c r="M51" i="5" s="1"/>
  <c r="W39" i="5"/>
  <c r="W45" i="5" s="1"/>
  <c r="AD20" i="5"/>
  <c r="I39" i="5"/>
  <c r="I52" i="5" s="1"/>
  <c r="K39" i="5"/>
  <c r="K52" i="5" s="1"/>
  <c r="L39" i="5"/>
  <c r="L48" i="5" s="1"/>
  <c r="F39" i="5"/>
  <c r="F52" i="5" s="1"/>
  <c r="H39" i="5"/>
  <c r="H47" i="5" s="1"/>
  <c r="T48" i="5"/>
  <c r="T45" i="5"/>
  <c r="T52" i="5"/>
  <c r="T47" i="5"/>
  <c r="T46" i="5"/>
  <c r="T51" i="5"/>
  <c r="E45" i="5"/>
  <c r="E46" i="5"/>
  <c r="AD5" i="5"/>
  <c r="AC5" i="5"/>
  <c r="AE5" i="5" s="1"/>
  <c r="AA11" i="5"/>
  <c r="AB18" i="5"/>
  <c r="AE18" i="5" s="1"/>
  <c r="AA5" i="5"/>
  <c r="AB11" i="5"/>
  <c r="AC18" i="5"/>
  <c r="AA25" i="5"/>
  <c r="AC11" i="5"/>
  <c r="AA18" i="5"/>
  <c r="J39" i="5"/>
  <c r="X39" i="5"/>
  <c r="AB30" i="5"/>
  <c r="AE30" i="5" s="1"/>
  <c r="P51" i="5"/>
  <c r="P46" i="5"/>
  <c r="P48" i="5"/>
  <c r="P45" i="5"/>
  <c r="P52" i="5"/>
  <c r="P47" i="5"/>
  <c r="AA30" i="5"/>
  <c r="AD30" i="5"/>
  <c r="O51" i="5"/>
  <c r="O46" i="5"/>
  <c r="O48" i="5"/>
  <c r="O45" i="5"/>
  <c r="O47" i="5"/>
  <c r="O52" i="5"/>
  <c r="AA16" i="5"/>
  <c r="AB13" i="5"/>
  <c r="AB9" i="5"/>
  <c r="AC13" i="5"/>
  <c r="AD19" i="5"/>
  <c r="AC19" i="5"/>
  <c r="AB19" i="5"/>
  <c r="AA19" i="5"/>
  <c r="AC16" i="5"/>
  <c r="AE16" i="5" s="1"/>
  <c r="AA27" i="5"/>
  <c r="AA4" i="5"/>
  <c r="AB6" i="5"/>
  <c r="AD27" i="5"/>
  <c r="AD16" i="5"/>
  <c r="AB27" i="5"/>
  <c r="AE27" i="5" s="1"/>
  <c r="AA6" i="5"/>
  <c r="AD13" i="5"/>
  <c r="AD31" i="5"/>
  <c r="AC31" i="5"/>
  <c r="AB31" i="5"/>
  <c r="AA31" i="5"/>
  <c r="AB4" i="5"/>
  <c r="AE4" i="5" s="1"/>
  <c r="AC6" i="5"/>
  <c r="AD14" i="5"/>
  <c r="AC14" i="5"/>
  <c r="AE14" i="5" s="1"/>
  <c r="AA21" i="5"/>
  <c r="AD9" i="5"/>
  <c r="AC9" i="5"/>
  <c r="AD28" i="5"/>
  <c r="AC28" i="5"/>
  <c r="AE28" i="5" s="1"/>
  <c r="AA12" i="5"/>
  <c r="AA26" i="5"/>
  <c r="AA7" i="5"/>
  <c r="AB12" i="5"/>
  <c r="AA17" i="5"/>
  <c r="AB26" i="5"/>
  <c r="AB7" i="5"/>
  <c r="AE7" i="5" s="1"/>
  <c r="AC12" i="5"/>
  <c r="AB17" i="5"/>
  <c r="AE17" i="5" s="1"/>
  <c r="AA22" i="5"/>
  <c r="AC26" i="5"/>
  <c r="AA10" i="5"/>
  <c r="AB22" i="5"/>
  <c r="AA29" i="5"/>
  <c r="AE9" i="2"/>
  <c r="AD9" i="2"/>
  <c r="AG9" i="2" s="1"/>
  <c r="AE24" i="2"/>
  <c r="AD24" i="2"/>
  <c r="AE4" i="2"/>
  <c r="AD4" i="2"/>
  <c r="Y41" i="2"/>
  <c r="X41" i="2"/>
  <c r="AC9" i="3"/>
  <c r="AB9" i="3"/>
  <c r="AC30" i="3"/>
  <c r="AB30" i="3"/>
  <c r="AB31" i="3"/>
  <c r="AE31" i="3" s="1"/>
  <c r="AF31" i="3" s="1"/>
  <c r="AB16" i="3"/>
  <c r="T10" i="4"/>
  <c r="W10" i="4"/>
  <c r="V10" i="4"/>
  <c r="X10" i="4" s="1"/>
  <c r="X9" i="4"/>
  <c r="Y9" i="4" s="1"/>
  <c r="U26" i="4"/>
  <c r="V26" i="4"/>
  <c r="W13" i="4"/>
  <c r="Q35" i="4"/>
  <c r="W6" i="4"/>
  <c r="O35" i="4"/>
  <c r="V18" i="4"/>
  <c r="X18" i="4" s="1"/>
  <c r="Y18" i="4" s="1"/>
  <c r="V23" i="4"/>
  <c r="V7" i="4"/>
  <c r="X7" i="4" s="1"/>
  <c r="V14" i="4"/>
  <c r="X14" i="4" s="1"/>
  <c r="V20" i="4"/>
  <c r="T7" i="4"/>
  <c r="T20" i="4"/>
  <c r="W7" i="4"/>
  <c r="W14" i="4"/>
  <c r="T11" i="4"/>
  <c r="T16" i="4"/>
  <c r="V22" i="4"/>
  <c r="X22" i="4" s="1"/>
  <c r="Y22" i="4" s="1"/>
  <c r="W24" i="4"/>
  <c r="W27" i="4"/>
  <c r="T4" i="4"/>
  <c r="U4" i="4"/>
  <c r="W11" i="4"/>
  <c r="W16" i="4"/>
  <c r="T25" i="4"/>
  <c r="V24" i="4"/>
  <c r="X24" i="4" s="1"/>
  <c r="Y24" i="4" s="1"/>
  <c r="U16" i="4"/>
  <c r="X16" i="4" s="1"/>
  <c r="V11" i="4"/>
  <c r="X11" i="4" s="1"/>
  <c r="V4" i="4"/>
  <c r="T23" i="4"/>
  <c r="U25" i="4"/>
  <c r="U23" i="4"/>
  <c r="V25" i="4"/>
  <c r="V27" i="4"/>
  <c r="X27" i="4" s="1"/>
  <c r="W22" i="4"/>
  <c r="V13" i="4"/>
  <c r="X13" i="4" s="1"/>
  <c r="W18" i="4"/>
  <c r="T14" i="4"/>
  <c r="U20" i="4"/>
  <c r="E35" i="4"/>
  <c r="U5" i="4"/>
  <c r="X5" i="4" s="1"/>
  <c r="U17" i="4"/>
  <c r="X17" i="4" s="1"/>
  <c r="T21" i="4"/>
  <c r="W5" i="4"/>
  <c r="T8" i="4"/>
  <c r="V12" i="4"/>
  <c r="X12" i="4" s="1"/>
  <c r="T15" i="4"/>
  <c r="W17" i="4"/>
  <c r="V21" i="4"/>
  <c r="T28" i="4"/>
  <c r="H35" i="4"/>
  <c r="V19" i="4"/>
  <c r="U8" i="4"/>
  <c r="U28" i="4"/>
  <c r="I35" i="4"/>
  <c r="T12" i="4"/>
  <c r="U19" i="4"/>
  <c r="F35" i="4"/>
  <c r="W12" i="4"/>
  <c r="U15" i="4"/>
  <c r="X15" i="4" s="1"/>
  <c r="V8" i="4"/>
  <c r="V28" i="4"/>
  <c r="J35" i="4"/>
  <c r="T6" i="4"/>
  <c r="W15" i="4"/>
  <c r="K35" i="4"/>
  <c r="U6" i="4"/>
  <c r="X6" i="4" s="1"/>
  <c r="T13" i="4"/>
  <c r="T18" i="4"/>
  <c r="T22" i="4"/>
  <c r="T24" i="4"/>
  <c r="T27" i="4"/>
  <c r="L35" i="4"/>
  <c r="T5" i="4"/>
  <c r="T17" i="4"/>
  <c r="W19" i="4"/>
  <c r="U21" i="4"/>
  <c r="G35" i="4"/>
  <c r="M35" i="4"/>
  <c r="N35" i="4"/>
  <c r="P35" i="4"/>
  <c r="K40" i="3"/>
  <c r="AD10" i="3"/>
  <c r="AD25" i="3"/>
  <c r="AC4" i="3"/>
  <c r="AE4" i="3" s="1"/>
  <c r="AC15" i="3"/>
  <c r="AE15" i="3" s="1"/>
  <c r="AF15" i="3" s="1"/>
  <c r="AD15" i="3"/>
  <c r="AD32" i="3"/>
  <c r="AB17" i="3"/>
  <c r="AE17" i="3" s="1"/>
  <c r="AF17" i="3" s="1"/>
  <c r="L40" i="3"/>
  <c r="I40" i="3"/>
  <c r="J40" i="3"/>
  <c r="M40" i="3"/>
  <c r="AA13" i="3"/>
  <c r="AC32" i="3"/>
  <c r="AE32" i="3" s="1"/>
  <c r="AD4" i="3"/>
  <c r="AC13" i="3"/>
  <c r="AE13" i="3" s="1"/>
  <c r="AF13" i="3" s="1"/>
  <c r="AB28" i="3"/>
  <c r="AD13" i="3"/>
  <c r="AC28" i="3"/>
  <c r="P40" i="3"/>
  <c r="AA32" i="3"/>
  <c r="AB27" i="3"/>
  <c r="AA28" i="3"/>
  <c r="AC6" i="3"/>
  <c r="AB22" i="3"/>
  <c r="AB20" i="3"/>
  <c r="AB12" i="3"/>
  <c r="AC10" i="3"/>
  <c r="AE10" i="3" s="1"/>
  <c r="AC25" i="3"/>
  <c r="AE25" i="3" s="1"/>
  <c r="AC20" i="3"/>
  <c r="AD20" i="3"/>
  <c r="O40" i="3"/>
  <c r="AA7" i="3"/>
  <c r="AB5" i="3"/>
  <c r="AC11" i="3"/>
  <c r="AD11" i="3"/>
  <c r="AC21" i="3"/>
  <c r="AB21" i="3"/>
  <c r="AD21" i="3"/>
  <c r="AC7" i="3"/>
  <c r="AE7" i="3" s="1"/>
  <c r="AD18" i="3"/>
  <c r="AD23" i="3"/>
  <c r="AB11" i="3"/>
  <c r="AA18" i="3"/>
  <c r="AA23" i="3"/>
  <c r="AC18" i="3"/>
  <c r="AE18" i="3" s="1"/>
  <c r="AC23" i="3"/>
  <c r="AE23" i="3" s="1"/>
  <c r="AB8" i="3"/>
  <c r="AA8" i="3"/>
  <c r="AD8" i="3"/>
  <c r="AC8" i="3"/>
  <c r="AB14" i="3"/>
  <c r="AA14" i="3"/>
  <c r="AD14" i="3"/>
  <c r="AC14" i="3"/>
  <c r="AD7" i="3"/>
  <c r="E40" i="3"/>
  <c r="Q40" i="3"/>
  <c r="U40" i="3"/>
  <c r="AA5" i="3"/>
  <c r="F40" i="3"/>
  <c r="V40" i="3"/>
  <c r="R40" i="3"/>
  <c r="N40" i="3"/>
  <c r="S40" i="3"/>
  <c r="AC26" i="3"/>
  <c r="AE26" i="3" s="1"/>
  <c r="AD26" i="3"/>
  <c r="G40" i="3"/>
  <c r="W40" i="3"/>
  <c r="AC5" i="3"/>
  <c r="AA11" i="3"/>
  <c r="AA16" i="3"/>
  <c r="AA26" i="3"/>
  <c r="H40" i="3"/>
  <c r="X40" i="3"/>
  <c r="AC16" i="3"/>
  <c r="AA21" i="3"/>
  <c r="AB29" i="3"/>
  <c r="AA6" i="3"/>
  <c r="AA33" i="3"/>
  <c r="AB19" i="3"/>
  <c r="AB24" i="3"/>
  <c r="AC33" i="3"/>
  <c r="AE33" i="3" s="1"/>
  <c r="AF33" i="3" s="1"/>
  <c r="AC19" i="3"/>
  <c r="AC24" i="3"/>
  <c r="AC29" i="3"/>
  <c r="AD33" i="3"/>
  <c r="AB6" i="3"/>
  <c r="AA12" i="3"/>
  <c r="AA17" i="3"/>
  <c r="AD19" i="3"/>
  <c r="AA22" i="3"/>
  <c r="AD24" i="3"/>
  <c r="AA27" i="3"/>
  <c r="AD29" i="3"/>
  <c r="AA31" i="3"/>
  <c r="T40" i="3"/>
  <c r="AD17" i="3"/>
  <c r="AD31" i="3"/>
  <c r="AC12" i="3"/>
  <c r="AC22" i="3"/>
  <c r="AC27" i="3"/>
  <c r="AA4" i="3"/>
  <c r="AA10" i="3"/>
  <c r="AA15" i="3"/>
  <c r="AA25" i="3"/>
  <c r="E42" i="2"/>
  <c r="F42" i="2"/>
  <c r="H42" i="2"/>
  <c r="E51" i="5" l="1"/>
  <c r="AE22" i="5"/>
  <c r="N52" i="5"/>
  <c r="S51" i="5"/>
  <c r="N47" i="5"/>
  <c r="N48" i="5"/>
  <c r="G51" i="5"/>
  <c r="L51" i="5"/>
  <c r="K51" i="5"/>
  <c r="N46" i="5"/>
  <c r="R47" i="5"/>
  <c r="R52" i="5"/>
  <c r="Q45" i="5"/>
  <c r="Q47" i="5"/>
  <c r="Q51" i="5"/>
  <c r="Q52" i="5"/>
  <c r="R45" i="5"/>
  <c r="Q48" i="5"/>
  <c r="R48" i="5"/>
  <c r="M47" i="5"/>
  <c r="R51" i="5"/>
  <c r="L47" i="5"/>
  <c r="W51" i="5"/>
  <c r="K45" i="5"/>
  <c r="V46" i="5"/>
  <c r="K46" i="5"/>
  <c r="V45" i="5"/>
  <c r="AE12" i="5"/>
  <c r="AE6" i="5"/>
  <c r="E47" i="5"/>
  <c r="N45" i="5"/>
  <c r="M45" i="5"/>
  <c r="AE20" i="5"/>
  <c r="M48" i="5"/>
  <c r="M46" i="5"/>
  <c r="K47" i="5"/>
  <c r="AE19" i="5"/>
  <c r="H48" i="5"/>
  <c r="F45" i="5"/>
  <c r="L45" i="5"/>
  <c r="F48" i="5"/>
  <c r="L46" i="5"/>
  <c r="U51" i="5"/>
  <c r="S46" i="5"/>
  <c r="U46" i="5"/>
  <c r="U47" i="5"/>
  <c r="S47" i="5"/>
  <c r="K48" i="5"/>
  <c r="U52" i="5"/>
  <c r="S52" i="5"/>
  <c r="U45" i="5"/>
  <c r="S45" i="5"/>
  <c r="H52" i="5"/>
  <c r="G47" i="5"/>
  <c r="H45" i="5"/>
  <c r="V48" i="5"/>
  <c r="G52" i="5"/>
  <c r="I48" i="5"/>
  <c r="G45" i="5"/>
  <c r="I46" i="5"/>
  <c r="AE26" i="5"/>
  <c r="AE31" i="5"/>
  <c r="I51" i="5"/>
  <c r="I47" i="5"/>
  <c r="W46" i="5"/>
  <c r="W48" i="5"/>
  <c r="I45" i="5"/>
  <c r="W47" i="5"/>
  <c r="W52" i="5"/>
  <c r="M52" i="5"/>
  <c r="H46" i="5"/>
  <c r="V51" i="5"/>
  <c r="E52" i="5"/>
  <c r="AE9" i="5"/>
  <c r="H51" i="5"/>
  <c r="V47" i="5"/>
  <c r="G46" i="5"/>
  <c r="F46" i="5"/>
  <c r="F51" i="5"/>
  <c r="L52" i="5"/>
  <c r="F47" i="5"/>
  <c r="X52" i="5"/>
  <c r="X47" i="5"/>
  <c r="X51" i="5"/>
  <c r="X46" i="5"/>
  <c r="X45" i="5"/>
  <c r="X48" i="5"/>
  <c r="J52" i="5"/>
  <c r="J47" i="5"/>
  <c r="J51" i="5"/>
  <c r="J46" i="5"/>
  <c r="J45" i="5"/>
  <c r="J48" i="5"/>
  <c r="AE11" i="5"/>
  <c r="AE13" i="5"/>
  <c r="AG24" i="2"/>
  <c r="AG4" i="2"/>
  <c r="J43" i="4"/>
  <c r="J48" i="4"/>
  <c r="J47" i="4"/>
  <c r="J42" i="4"/>
  <c r="J41" i="4"/>
  <c r="J44" i="4"/>
  <c r="H48" i="4"/>
  <c r="H43" i="4"/>
  <c r="H42" i="4"/>
  <c r="H44" i="4"/>
  <c r="H41" i="4"/>
  <c r="H47" i="4"/>
  <c r="E42" i="4"/>
  <c r="E48" i="4"/>
  <c r="E47" i="4"/>
  <c r="E44" i="4"/>
  <c r="E43" i="4"/>
  <c r="E41" i="4"/>
  <c r="X50" i="2"/>
  <c r="X53" i="2"/>
  <c r="X54" i="2"/>
  <c r="X48" i="2"/>
  <c r="X47" i="2"/>
  <c r="X49" i="2"/>
  <c r="Y50" i="2"/>
  <c r="Y53" i="2"/>
  <c r="Y48" i="2"/>
  <c r="Y54" i="2"/>
  <c r="Y47" i="2"/>
  <c r="Y49" i="2"/>
  <c r="W52" i="3"/>
  <c r="W53" i="3"/>
  <c r="W49" i="3"/>
  <c r="W48" i="3"/>
  <c r="W47" i="3"/>
  <c r="W46" i="3"/>
  <c r="T52" i="3"/>
  <c r="T49" i="3"/>
  <c r="T48" i="3"/>
  <c r="T53" i="3"/>
  <c r="T47" i="3"/>
  <c r="T46" i="3"/>
  <c r="AE30" i="3"/>
  <c r="AE9" i="3"/>
  <c r="X48" i="3"/>
  <c r="X47" i="3"/>
  <c r="X53" i="3"/>
  <c r="X46" i="3"/>
  <c r="X52" i="3"/>
  <c r="X49" i="3"/>
  <c r="V48" i="3"/>
  <c r="V53" i="3"/>
  <c r="V47" i="3"/>
  <c r="V52" i="3"/>
  <c r="V46" i="3"/>
  <c r="V49" i="3"/>
  <c r="U46" i="3"/>
  <c r="U49" i="3"/>
  <c r="U48" i="3"/>
  <c r="U53" i="3"/>
  <c r="U47" i="3"/>
  <c r="U52" i="3"/>
  <c r="S53" i="3"/>
  <c r="S49" i="3"/>
  <c r="S46" i="3"/>
  <c r="S48" i="3"/>
  <c r="S52" i="3"/>
  <c r="S47" i="3"/>
  <c r="R46" i="3"/>
  <c r="R49" i="3"/>
  <c r="R53" i="3"/>
  <c r="R48" i="3"/>
  <c r="R52" i="3"/>
  <c r="R47" i="3"/>
  <c r="Q53" i="3"/>
  <c r="Q47" i="3"/>
  <c r="Q49" i="3"/>
  <c r="Q52" i="3"/>
  <c r="Q48" i="3"/>
  <c r="Q46" i="3"/>
  <c r="P47" i="3"/>
  <c r="P49" i="3"/>
  <c r="P46" i="3"/>
  <c r="P53" i="3"/>
  <c r="P52" i="3"/>
  <c r="P48" i="3"/>
  <c r="O52" i="3"/>
  <c r="O48" i="3"/>
  <c r="O53" i="3"/>
  <c r="O46" i="3"/>
  <c r="O49" i="3"/>
  <c r="O47" i="3"/>
  <c r="N52" i="3"/>
  <c r="N53" i="3"/>
  <c r="N48" i="3"/>
  <c r="N47" i="3"/>
  <c r="N49" i="3"/>
  <c r="N46" i="3"/>
  <c r="M53" i="3"/>
  <c r="M47" i="3"/>
  <c r="M48" i="3"/>
  <c r="M49" i="3"/>
  <c r="M52" i="3"/>
  <c r="M46" i="3"/>
  <c r="L46" i="3"/>
  <c r="L48" i="3"/>
  <c r="L53" i="3"/>
  <c r="L47" i="3"/>
  <c r="L49" i="3"/>
  <c r="L52" i="3"/>
  <c r="K46" i="3"/>
  <c r="K47" i="3"/>
  <c r="K48" i="3"/>
  <c r="K49" i="3"/>
  <c r="K52" i="3"/>
  <c r="K53" i="3"/>
  <c r="J46" i="3"/>
  <c r="J47" i="3"/>
  <c r="J48" i="3"/>
  <c r="J49" i="3"/>
  <c r="J52" i="3"/>
  <c r="J53" i="3"/>
  <c r="I53" i="3"/>
  <c r="I49" i="3"/>
  <c r="I48" i="3"/>
  <c r="I47" i="3"/>
  <c r="I46" i="3"/>
  <c r="I52" i="3"/>
  <c r="H49" i="3"/>
  <c r="H52" i="3"/>
  <c r="H47" i="3"/>
  <c r="H53" i="3"/>
  <c r="H46" i="3"/>
  <c r="H48" i="3"/>
  <c r="F52" i="3"/>
  <c r="F49" i="3"/>
  <c r="F48" i="3"/>
  <c r="F47" i="3"/>
  <c r="F46" i="3"/>
  <c r="F53" i="3"/>
  <c r="E48" i="3"/>
  <c r="E53" i="3"/>
  <c r="E47" i="3"/>
  <c r="E46" i="3"/>
  <c r="E52" i="3"/>
  <c r="E49" i="3"/>
  <c r="G48" i="3"/>
  <c r="G52" i="3"/>
  <c r="G46" i="3"/>
  <c r="G53" i="3"/>
  <c r="G47" i="3"/>
  <c r="G49" i="3"/>
  <c r="AE16" i="3"/>
  <c r="AE12" i="3"/>
  <c r="AF12" i="3" s="1"/>
  <c r="X26" i="4"/>
  <c r="X21" i="4"/>
  <c r="X23" i="4"/>
  <c r="X28" i="4"/>
  <c r="X4" i="4"/>
  <c r="X8" i="4"/>
  <c r="X20" i="4"/>
  <c r="Y20" i="4" s="1"/>
  <c r="X19" i="4"/>
  <c r="X25" i="4"/>
  <c r="AE22" i="3"/>
  <c r="AF22" i="3" s="1"/>
  <c r="AE20" i="3"/>
  <c r="AE27" i="3"/>
  <c r="AF27" i="3" s="1"/>
  <c r="AE14" i="3"/>
  <c r="AE8" i="3"/>
  <c r="AE6" i="3"/>
  <c r="AE28" i="3"/>
  <c r="AE21" i="3"/>
  <c r="AE29" i="3"/>
  <c r="AE11" i="3"/>
  <c r="AF11" i="3" s="1"/>
  <c r="AE24" i="3"/>
  <c r="AE19" i="3"/>
  <c r="AF19" i="3" s="1"/>
  <c r="AE5" i="3"/>
  <c r="AF5" i="3" s="1"/>
  <c r="AB20" i="2"/>
  <c r="AC20" i="2" s="1"/>
  <c r="AD20" i="2" l="1"/>
  <c r="AF20" i="2"/>
  <c r="AE20" i="2"/>
  <c r="AB17" i="2"/>
  <c r="AD17" i="2" s="1"/>
  <c r="AB5" i="2"/>
  <c r="AC5" i="2" s="1"/>
  <c r="AB6" i="2"/>
  <c r="AC6" i="2" s="1"/>
  <c r="AB7" i="2"/>
  <c r="AC7" i="2" s="1"/>
  <c r="AB8" i="2"/>
  <c r="AC8" i="2" s="1"/>
  <c r="AB10" i="2"/>
  <c r="AC10" i="2" s="1"/>
  <c r="AB11" i="2"/>
  <c r="AC11" i="2" s="1"/>
  <c r="AB12" i="2"/>
  <c r="AC12" i="2" s="1"/>
  <c r="AB13" i="2"/>
  <c r="AC13" i="2" s="1"/>
  <c r="AB14" i="2"/>
  <c r="AC14" i="2" s="1"/>
  <c r="AB15" i="2"/>
  <c r="AC15" i="2" s="1"/>
  <c r="AB16" i="2"/>
  <c r="AC16" i="2" s="1"/>
  <c r="AB18" i="2"/>
  <c r="AC18" i="2" s="1"/>
  <c r="AB19" i="2"/>
  <c r="AC19" i="2" s="1"/>
  <c r="AB21" i="2"/>
  <c r="AC21" i="2" s="1"/>
  <c r="AB22" i="2"/>
  <c r="AC22" i="2" s="1"/>
  <c r="AB23" i="2"/>
  <c r="AC23" i="2" s="1"/>
  <c r="AB25" i="2"/>
  <c r="AC25" i="2" s="1"/>
  <c r="AB26" i="2"/>
  <c r="AC26" i="2" s="1"/>
  <c r="AB27" i="2"/>
  <c r="AF27" i="2" s="1"/>
  <c r="AB28" i="2"/>
  <c r="AC28" i="2" s="1"/>
  <c r="AB29" i="2"/>
  <c r="AC29" i="2" s="1"/>
  <c r="AB30" i="2"/>
  <c r="AD30" i="2" s="1"/>
  <c r="AB31" i="2"/>
  <c r="AE31" i="2" s="1"/>
  <c r="AB32" i="2"/>
  <c r="AC32" i="2" s="1"/>
  <c r="AB33" i="2"/>
  <c r="AC33" i="2" s="1"/>
  <c r="AB34" i="2"/>
  <c r="AC34" i="2" s="1"/>
  <c r="D57" i="2"/>
  <c r="D56" i="2"/>
  <c r="AC1" i="2"/>
  <c r="W42" i="2"/>
  <c r="Z42" i="2"/>
  <c r="W43" i="2"/>
  <c r="Z43" i="2"/>
  <c r="W44" i="2"/>
  <c r="Z44" i="2"/>
  <c r="W45" i="2"/>
  <c r="Z45" i="2"/>
  <c r="G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E45" i="2"/>
  <c r="E44" i="2"/>
  <c r="E43" i="2"/>
  <c r="AF29" i="2" l="1"/>
  <c r="AF23" i="2"/>
  <c r="AG20" i="2"/>
  <c r="AF17" i="2"/>
  <c r="AC17" i="2"/>
  <c r="AE17" i="2"/>
  <c r="AG17" i="2" s="1"/>
  <c r="AH17" i="2" s="1"/>
  <c r="AE27" i="2"/>
  <c r="AD31" i="2"/>
  <c r="AG31" i="2" s="1"/>
  <c r="AC31" i="2"/>
  <c r="AE30" i="2"/>
  <c r="AG30" i="2" s="1"/>
  <c r="AC30" i="2"/>
  <c r="AE28" i="2"/>
  <c r="AD27" i="2"/>
  <c r="AC27" i="2"/>
  <c r="AE23" i="2"/>
  <c r="AE16" i="2"/>
  <c r="AD16" i="2"/>
  <c r="AF31" i="2"/>
  <c r="AE15" i="2"/>
  <c r="AE12" i="2"/>
  <c r="AF34" i="2"/>
  <c r="AF16" i="2"/>
  <c r="AF12" i="2"/>
  <c r="AF8" i="2"/>
  <c r="AE34" i="2"/>
  <c r="AE8" i="2"/>
  <c r="AD34" i="2"/>
  <c r="AD23" i="2"/>
  <c r="AD12" i="2"/>
  <c r="AD8" i="2"/>
  <c r="AF30" i="2"/>
  <c r="AF22" i="2"/>
  <c r="AF19" i="2"/>
  <c r="AF15" i="2"/>
  <c r="AF7" i="2"/>
  <c r="AE22" i="2"/>
  <c r="AE19" i="2"/>
  <c r="AE7" i="2"/>
  <c r="AD22" i="2"/>
  <c r="AD19" i="2"/>
  <c r="AD15" i="2"/>
  <c r="AD7" i="2"/>
  <c r="AF33" i="2"/>
  <c r="AF26" i="2"/>
  <c r="AF21" i="2"/>
  <c r="AF14" i="2"/>
  <c r="AF11" i="2"/>
  <c r="AF6" i="2"/>
  <c r="AE33" i="2"/>
  <c r="AE29" i="2"/>
  <c r="AE26" i="2"/>
  <c r="AE21" i="2"/>
  <c r="AE14" i="2"/>
  <c r="AE11" i="2"/>
  <c r="AE6" i="2"/>
  <c r="AD33" i="2"/>
  <c r="AD29" i="2"/>
  <c r="AD26" i="2"/>
  <c r="AD21" i="2"/>
  <c r="AD14" i="2"/>
  <c r="AD11" i="2"/>
  <c r="AD6" i="2"/>
  <c r="AF32" i="2"/>
  <c r="AF28" i="2"/>
  <c r="AF25" i="2"/>
  <c r="AF18" i="2"/>
  <c r="AF13" i="2"/>
  <c r="AF10" i="2"/>
  <c r="AF5" i="2"/>
  <c r="AE32" i="2"/>
  <c r="AE25" i="2"/>
  <c r="AE18" i="2"/>
  <c r="AE13" i="2"/>
  <c r="AE10" i="2"/>
  <c r="AE5" i="2"/>
  <c r="AD32" i="2"/>
  <c r="AD28" i="2"/>
  <c r="AD25" i="2"/>
  <c r="AD18" i="2"/>
  <c r="AD13" i="2"/>
  <c r="AD10" i="2"/>
  <c r="AD5" i="2"/>
  <c r="U41" i="2"/>
  <c r="V41" i="2"/>
  <c r="Z41" i="2"/>
  <c r="L41" i="2"/>
  <c r="R41" i="2"/>
  <c r="T41" i="2"/>
  <c r="Q41" i="2"/>
  <c r="O41" i="2"/>
  <c r="N41" i="2"/>
  <c r="M41" i="2"/>
  <c r="K41" i="2"/>
  <c r="J41" i="2"/>
  <c r="I41" i="2"/>
  <c r="W41" i="2"/>
  <c r="S41" i="2"/>
  <c r="P41" i="2"/>
  <c r="H41" i="2"/>
  <c r="G41" i="2"/>
  <c r="F41" i="2"/>
  <c r="E41" i="2"/>
  <c r="M50" i="2" l="1"/>
  <c r="M53" i="2"/>
  <c r="M49" i="2"/>
  <c r="M54" i="2"/>
  <c r="M47" i="2"/>
  <c r="M48" i="2"/>
  <c r="O48" i="2"/>
  <c r="O49" i="2"/>
  <c r="O50" i="2"/>
  <c r="O47" i="2"/>
  <c r="O53" i="2"/>
  <c r="O54" i="2"/>
  <c r="P54" i="2"/>
  <c r="P49" i="2"/>
  <c r="P47" i="2"/>
  <c r="P48" i="2"/>
  <c r="P53" i="2"/>
  <c r="P50" i="2"/>
  <c r="Q53" i="2"/>
  <c r="Q54" i="2"/>
  <c r="Q50" i="2"/>
  <c r="Q47" i="2"/>
  <c r="Q48" i="2"/>
  <c r="Q49" i="2"/>
  <c r="T48" i="2"/>
  <c r="T49" i="2"/>
  <c r="T50" i="2"/>
  <c r="T53" i="2"/>
  <c r="T54" i="2"/>
  <c r="T47" i="2"/>
  <c r="L49" i="2"/>
  <c r="L53" i="2"/>
  <c r="L54" i="2"/>
  <c r="L47" i="2"/>
  <c r="L50" i="2"/>
  <c r="L48" i="2"/>
  <c r="W50" i="2"/>
  <c r="W53" i="2"/>
  <c r="W54" i="2"/>
  <c r="W47" i="2"/>
  <c r="W48" i="2"/>
  <c r="W49" i="2"/>
  <c r="K47" i="2"/>
  <c r="K54" i="2"/>
  <c r="K48" i="2"/>
  <c r="K53" i="2"/>
  <c r="K49" i="2"/>
  <c r="K50" i="2"/>
  <c r="R50" i="2"/>
  <c r="R53" i="2"/>
  <c r="R54" i="2"/>
  <c r="R47" i="2"/>
  <c r="R48" i="2"/>
  <c r="R49" i="2"/>
  <c r="E49" i="2"/>
  <c r="E48" i="2"/>
  <c r="E54" i="2"/>
  <c r="E50" i="2"/>
  <c r="E47" i="2"/>
  <c r="E53" i="2"/>
  <c r="F47" i="2"/>
  <c r="F48" i="2"/>
  <c r="F49" i="2"/>
  <c r="F50" i="2"/>
  <c r="F53" i="2"/>
  <c r="F54" i="2"/>
  <c r="G47" i="2"/>
  <c r="G48" i="2"/>
  <c r="G49" i="2"/>
  <c r="G50" i="2"/>
  <c r="G53" i="2"/>
  <c r="G54" i="2"/>
  <c r="V47" i="2"/>
  <c r="V48" i="2"/>
  <c r="V49" i="2"/>
  <c r="V50" i="2"/>
  <c r="V53" i="2"/>
  <c r="V54" i="2"/>
  <c r="N48" i="2"/>
  <c r="N49" i="2"/>
  <c r="N47" i="2"/>
  <c r="N50" i="2"/>
  <c r="N53" i="2"/>
  <c r="N54" i="2"/>
  <c r="H47" i="2"/>
  <c r="H48" i="2"/>
  <c r="H49" i="2"/>
  <c r="H50" i="2"/>
  <c r="H53" i="2"/>
  <c r="H54" i="2"/>
  <c r="U47" i="2"/>
  <c r="U48" i="2"/>
  <c r="U49" i="2"/>
  <c r="U50" i="2"/>
  <c r="U53" i="2"/>
  <c r="U54" i="2"/>
  <c r="S49" i="2"/>
  <c r="S50" i="2"/>
  <c r="S53" i="2"/>
  <c r="S54" i="2"/>
  <c r="S47" i="2"/>
  <c r="S48" i="2"/>
  <c r="I47" i="2"/>
  <c r="I48" i="2"/>
  <c r="I49" i="2"/>
  <c r="I50" i="2"/>
  <c r="I53" i="2"/>
  <c r="I54" i="2"/>
  <c r="J47" i="2"/>
  <c r="J48" i="2"/>
  <c r="J49" i="2"/>
  <c r="J53" i="2"/>
  <c r="J54" i="2"/>
  <c r="J50" i="2"/>
  <c r="Z47" i="2"/>
  <c r="Z53" i="2"/>
  <c r="Z48" i="2"/>
  <c r="Z54" i="2"/>
  <c r="Z49" i="2"/>
  <c r="Z50" i="2"/>
  <c r="AG22" i="2"/>
  <c r="AH22" i="2" s="1"/>
  <c r="AG19" i="2"/>
  <c r="AH19" i="2" s="1"/>
  <c r="AG8" i="2"/>
  <c r="AG23" i="2"/>
  <c r="AG27" i="2"/>
  <c r="AG28" i="2"/>
  <c r="AH28" i="2" s="1"/>
  <c r="AG16" i="2"/>
  <c r="AG32" i="2"/>
  <c r="AG15" i="2"/>
  <c r="AH15" i="2" s="1"/>
  <c r="AG25" i="2"/>
  <c r="AG7" i="2"/>
  <c r="AH7" i="2" s="1"/>
  <c r="AG6" i="2"/>
  <c r="AG11" i="2"/>
  <c r="AH11" i="2" s="1"/>
  <c r="AG12" i="2"/>
  <c r="AG29" i="2"/>
  <c r="AG34" i="2"/>
  <c r="AH34" i="2" s="1"/>
  <c r="AG5" i="2"/>
  <c r="AH5" i="2" s="1"/>
  <c r="AG10" i="2"/>
  <c r="AG33" i="2"/>
  <c r="AH33" i="2" s="1"/>
  <c r="AG14" i="2"/>
  <c r="AG21" i="2"/>
  <c r="AG26" i="2"/>
  <c r="AG13" i="2"/>
  <c r="AH13" i="2" s="1"/>
  <c r="AG18" i="2"/>
  <c r="AH18" i="2" s="1"/>
</calcChain>
</file>

<file path=xl/sharedStrings.xml><?xml version="1.0" encoding="utf-8"?>
<sst xmlns="http://schemas.openxmlformats.org/spreadsheetml/2006/main" count="1918" uniqueCount="89">
  <si>
    <t>AUER François-Régis</t>
  </si>
  <si>
    <t>DEL VECCHIO Jean-Pierre</t>
  </si>
  <si>
    <t>FAIVRE Alain</t>
  </si>
  <si>
    <t>GUERNE Dominique</t>
  </si>
  <si>
    <t>KAISER Nicolas</t>
  </si>
  <si>
    <t>Nom/ Tenue effectuée</t>
  </si>
  <si>
    <t>Excusé</t>
  </si>
  <si>
    <t>Absent</t>
  </si>
  <si>
    <t>Présent</t>
  </si>
  <si>
    <t>84 ter</t>
  </si>
  <si>
    <t>Dispensé</t>
  </si>
  <si>
    <t>Grade requis pour tenue</t>
  </si>
  <si>
    <t xml:space="preserve">App∴ </t>
  </si>
  <si>
    <t xml:space="preserve">M∴ </t>
  </si>
  <si>
    <t xml:space="preserve">Comp∴ </t>
  </si>
  <si>
    <t>Nb Present</t>
  </si>
  <si>
    <t>Nb Excusés</t>
  </si>
  <si>
    <t>Nb Absents</t>
  </si>
  <si>
    <t>Nb Dispensé</t>
  </si>
  <si>
    <t>Total</t>
  </si>
  <si>
    <t>% Present</t>
  </si>
  <si>
    <t>% Dispensé</t>
  </si>
  <si>
    <t>% Absents</t>
  </si>
  <si>
    <t>% Excusés</t>
  </si>
  <si>
    <t>Nb tenues</t>
  </si>
  <si>
    <t>% presence</t>
  </si>
  <si>
    <t>%absence</t>
  </si>
  <si>
    <t>%excuse</t>
  </si>
  <si>
    <t>%dispense</t>
  </si>
  <si>
    <t xml:space="preserve">Grade </t>
  </si>
  <si>
    <t>Nb App</t>
  </si>
  <si>
    <t>Nb Comp</t>
  </si>
  <si>
    <t>Nb M</t>
  </si>
  <si>
    <t>% abs+exc</t>
  </si>
  <si>
    <t>OFF</t>
  </si>
  <si>
    <t>Mban</t>
  </si>
  <si>
    <t>Couv</t>
  </si>
  <si>
    <t>A /  E OFFIC</t>
  </si>
  <si>
    <t>VM</t>
  </si>
  <si>
    <t>P</t>
  </si>
  <si>
    <t>E</t>
  </si>
  <si>
    <t>X</t>
  </si>
  <si>
    <t>1er S</t>
  </si>
  <si>
    <t>Orateur</t>
  </si>
  <si>
    <t>Secrét</t>
  </si>
  <si>
    <t>Trésor</t>
  </si>
  <si>
    <t>% Presence sans dispensé(s</t>
  </si>
  <si>
    <t>% Absence et excusé sans dispensé (s)</t>
  </si>
  <si>
    <t>ANOUGNA ONANA Alphonse</t>
  </si>
  <si>
    <t>BUR Patrick</t>
  </si>
  <si>
    <t>BUTTERLIN Christophe</t>
  </si>
  <si>
    <t>CADONA Alain</t>
  </si>
  <si>
    <t>CORNELISE Claire</t>
  </si>
  <si>
    <t>DANGOUMAU Tristan Jacques</t>
  </si>
  <si>
    <t>DARDENNE Gilles</t>
  </si>
  <si>
    <t>DUBOIS Jean-Luc</t>
  </si>
  <si>
    <t>DUPONT Nicolas</t>
  </si>
  <si>
    <t>IBBA Jean-Marc</t>
  </si>
  <si>
    <t>KLEIN Thomas</t>
  </si>
  <si>
    <t>LEBOSSE Cédric</t>
  </si>
  <si>
    <t>LEROY Christine</t>
  </si>
  <si>
    <t>LUZERNE Christian</t>
  </si>
  <si>
    <t>MAITREPIERRE Anne-Sophie</t>
  </si>
  <si>
    <t>MANGENOT Gérard</t>
  </si>
  <si>
    <t>POIAREZ Jean-Claude</t>
  </si>
  <si>
    <t>POLLO Michel</t>
  </si>
  <si>
    <t>REYTER Grégory</t>
  </si>
  <si>
    <t>SUSSET Valérie</t>
  </si>
  <si>
    <t>TRIEU Jean-Baptiste</t>
  </si>
  <si>
    <t>TRUFFERT Ariane</t>
  </si>
  <si>
    <t>2ème S</t>
  </si>
  <si>
    <t>Hsp</t>
  </si>
  <si>
    <t>M Cer</t>
  </si>
  <si>
    <t>Exp</t>
  </si>
  <si>
    <t>A</t>
  </si>
  <si>
    <t>SEYLER Muriel</t>
  </si>
  <si>
    <t>SEYLER Synthia</t>
  </si>
  <si>
    <t>DILLENSCHNEIDER Michel</t>
  </si>
  <si>
    <t>x</t>
  </si>
  <si>
    <t>CHANSON Claire</t>
  </si>
  <si>
    <t>CLERC Florence</t>
  </si>
  <si>
    <t>ROCHE Dominique</t>
  </si>
  <si>
    <t>Hsp+Mban</t>
  </si>
  <si>
    <t>% Absence et excusé sans dispensé(s)</t>
  </si>
  <si>
    <t>A/E OFFIC</t>
  </si>
  <si>
    <t>Harm</t>
  </si>
  <si>
    <t>Fresque du Climat</t>
  </si>
  <si>
    <t>CANEL-GUERARD Aline</t>
  </si>
  <si>
    <t>LOUIS-TRIEU Jean-Baptiste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</si>
</sst>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40C]d\-mmm\-yy;@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164" fontId="0" fillId="0" borderId="0" xfId="1" applyNumberFormat="1" applyFont="1"/>
    <xf numFmtId="0" fontId="0" fillId="0" borderId="0" xfId="0" applyAlignment="1">
      <alignment vertical="top" wrapText="1"/>
    </xf>
    <xf numFmtId="0" fontId="3" fillId="0" borderId="0" xfId="0" applyFont="1" applyAlignment="1">
      <alignment horizontal="center"/>
    </xf>
    <xf numFmtId="0" fontId="4" fillId="2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1" xfId="1" applyNumberFormat="1" applyFont="1" applyBorder="1"/>
    <xf numFmtId="164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center"/>
    </xf>
    <xf numFmtId="15" fontId="0" fillId="0" borderId="3" xfId="0" applyNumberFormat="1" applyBorder="1" applyAlignment="1">
      <alignment textRotation="45"/>
    </xf>
    <xf numFmtId="15" fontId="0" fillId="0" borderId="4" xfId="0" applyNumberFormat="1" applyBorder="1" applyAlignment="1">
      <alignment textRotation="45"/>
    </xf>
    <xf numFmtId="15" fontId="0" fillId="0" borderId="5" xfId="0" applyNumberFormat="1" applyBorder="1" applyAlignment="1">
      <alignment textRotation="45"/>
    </xf>
    <xf numFmtId="0" fontId="0" fillId="0" borderId="6" xfId="0" applyBorder="1"/>
    <xf numFmtId="0" fontId="0" fillId="0" borderId="7" xfId="0" applyBorder="1"/>
    <xf numFmtId="0" fontId="4" fillId="4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2" xfId="1" applyNumberFormat="1" applyFont="1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164" fontId="0" fillId="0" borderId="0" xfId="1" applyNumberFormat="1" applyFont="1" applyFill="1"/>
    <xf numFmtId="164" fontId="0" fillId="0" borderId="2" xfId="1" applyNumberFormat="1" applyFont="1" applyFill="1" applyBorder="1"/>
    <xf numFmtId="10" fontId="0" fillId="0" borderId="0" xfId="0" applyNumberForma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6" fillId="5" borderId="0" xfId="0" applyFont="1" applyFill="1" applyAlignment="1">
      <alignment horizontal="center" vertical="center" wrapText="1"/>
    </xf>
    <xf numFmtId="165" fontId="0" fillId="0" borderId="3" xfId="0" applyNumberFormat="1" applyBorder="1" applyAlignment="1">
      <alignment textRotation="45"/>
    </xf>
    <xf numFmtId="165" fontId="0" fillId="0" borderId="4" xfId="0" applyNumberFormat="1" applyBorder="1" applyAlignment="1">
      <alignment textRotation="45"/>
    </xf>
    <xf numFmtId="165" fontId="0" fillId="0" borderId="5" xfId="0" applyNumberFormat="1" applyBorder="1" applyAlignment="1">
      <alignment textRotation="45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15" fontId="0" fillId="10" borderId="3" xfId="0" applyNumberFormat="1" applyFill="1" applyBorder="1" applyAlignment="1">
      <alignment textRotation="45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0C03-E331-44F6-BEC3-3B0C4F5D3BC5}">
  <dimension ref="A1:AB52"/>
  <sheetViews>
    <sheetView zoomScale="80" zoomScaleNormal="8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3" sqref="P3"/>
    </sheetView>
  </sheetViews>
  <sheetFormatPr baseColWidth="10" defaultColWidth="11" defaultRowHeight="15.6" x14ac:dyDescent="0.3"/>
  <cols>
    <col min="1" max="1" width="8.69921875" bestFit="1" customWidth="1"/>
    <col min="2" max="2" width="5.19921875" customWidth="1"/>
    <col min="3" max="3" width="30.09765625" bestFit="1" customWidth="1"/>
    <col min="4" max="4" width="6.69921875" style="10" bestFit="1" customWidth="1"/>
    <col min="5" max="5" width="7.59765625" bestFit="1" customWidth="1"/>
    <col min="6" max="6" width="9" customWidth="1"/>
    <col min="7" max="17" width="8.3984375" bestFit="1" customWidth="1"/>
    <col min="18" max="18" width="4.3984375" customWidth="1"/>
    <col min="19" max="19" width="9.5" bestFit="1" customWidth="1"/>
    <col min="20" max="20" width="10.296875" bestFit="1" customWidth="1"/>
    <col min="21" max="21" width="9.09765625" bestFit="1" customWidth="1"/>
    <col min="22" max="22" width="7.8984375" bestFit="1" customWidth="1"/>
    <col min="23" max="23" width="9.69921875" bestFit="1" customWidth="1"/>
    <col min="24" max="24" width="9.3984375" bestFit="1" customWidth="1"/>
    <col min="25" max="25" width="10.59765625" style="10" bestFit="1" customWidth="1"/>
    <col min="28" max="28" width="7.3984375" bestFit="1" customWidth="1"/>
  </cols>
  <sheetData>
    <row r="1" spans="1:28" ht="54" thickBot="1" x14ac:dyDescent="0.9">
      <c r="E1" s="15">
        <v>44916</v>
      </c>
      <c r="F1" s="14">
        <v>44931</v>
      </c>
      <c r="G1" s="15">
        <v>44944</v>
      </c>
      <c r="H1" s="14">
        <v>44959</v>
      </c>
      <c r="I1" s="15">
        <v>44972</v>
      </c>
      <c r="J1" s="14">
        <v>44987</v>
      </c>
      <c r="K1" s="15">
        <v>45000</v>
      </c>
      <c r="L1" s="14">
        <v>45022</v>
      </c>
      <c r="M1" s="15">
        <v>45035</v>
      </c>
      <c r="N1" s="14">
        <v>45050</v>
      </c>
      <c r="O1" s="16">
        <v>45063</v>
      </c>
      <c r="P1" s="14">
        <v>45078</v>
      </c>
      <c r="Q1" s="15">
        <v>45098</v>
      </c>
      <c r="S1" t="s">
        <v>24</v>
      </c>
      <c r="T1" s="3">
        <f>COUNTIF(E2:Q2,"X")</f>
        <v>12</v>
      </c>
      <c r="Y1" s="10" t="s">
        <v>37</v>
      </c>
    </row>
    <row r="2" spans="1:28" ht="20.399999999999999" x14ac:dyDescent="0.3">
      <c r="A2" t="s">
        <v>34</v>
      </c>
      <c r="B2" t="s">
        <v>10</v>
      </c>
      <c r="C2" s="2" t="s">
        <v>5</v>
      </c>
      <c r="D2" s="10" t="s">
        <v>29</v>
      </c>
      <c r="E2" s="20" t="s">
        <v>41</v>
      </c>
      <c r="F2" s="20" t="s">
        <v>41</v>
      </c>
      <c r="G2" s="20" t="s">
        <v>41</v>
      </c>
      <c r="H2" s="20" t="s">
        <v>41</v>
      </c>
      <c r="I2" s="20" t="s">
        <v>41</v>
      </c>
      <c r="J2" s="40" t="s">
        <v>86</v>
      </c>
      <c r="K2" s="20" t="s">
        <v>41</v>
      </c>
      <c r="L2" s="20" t="s">
        <v>41</v>
      </c>
      <c r="M2" s="20" t="s">
        <v>41</v>
      </c>
      <c r="N2" s="20" t="s">
        <v>41</v>
      </c>
      <c r="O2" s="20" t="s">
        <v>41</v>
      </c>
      <c r="P2" s="20" t="s">
        <v>41</v>
      </c>
      <c r="Q2" s="20" t="s">
        <v>78</v>
      </c>
      <c r="S2" s="10"/>
      <c r="T2" t="s">
        <v>25</v>
      </c>
      <c r="U2" t="s">
        <v>26</v>
      </c>
      <c r="V2" t="s">
        <v>27</v>
      </c>
      <c r="W2" t="s">
        <v>28</v>
      </c>
      <c r="X2" t="s">
        <v>33</v>
      </c>
      <c r="AB2" t="s">
        <v>6</v>
      </c>
    </row>
    <row r="3" spans="1:28" ht="16.2" thickBot="1" x14ac:dyDescent="0.35">
      <c r="C3" s="2" t="s">
        <v>11</v>
      </c>
      <c r="E3" s="10" t="s">
        <v>12</v>
      </c>
      <c r="F3" s="10" t="s">
        <v>12</v>
      </c>
      <c r="G3" s="10" t="s">
        <v>12</v>
      </c>
      <c r="H3" s="10" t="s">
        <v>12</v>
      </c>
      <c r="I3" s="10" t="s">
        <v>12</v>
      </c>
      <c r="J3" s="10" t="s">
        <v>12</v>
      </c>
      <c r="K3" s="10" t="s">
        <v>12</v>
      </c>
      <c r="L3" s="10" t="s">
        <v>12</v>
      </c>
      <c r="M3" s="10" t="s">
        <v>12</v>
      </c>
      <c r="N3" s="10" t="s">
        <v>12</v>
      </c>
      <c r="O3" s="10" t="s">
        <v>12</v>
      </c>
      <c r="P3" s="10" t="s">
        <v>14</v>
      </c>
      <c r="Q3" s="10" t="s">
        <v>12</v>
      </c>
    </row>
    <row r="4" spans="1:28" x14ac:dyDescent="0.3">
      <c r="C4" s="17" t="s">
        <v>48</v>
      </c>
      <c r="D4" s="10" t="s">
        <v>13</v>
      </c>
      <c r="E4" s="22" t="s">
        <v>39</v>
      </c>
      <c r="F4" s="21" t="s">
        <v>40</v>
      </c>
      <c r="G4" s="22" t="s">
        <v>40</v>
      </c>
      <c r="H4" s="21" t="s">
        <v>39</v>
      </c>
      <c r="I4" s="22" t="s">
        <v>40</v>
      </c>
      <c r="J4" s="21"/>
      <c r="K4" s="22" t="s">
        <v>40</v>
      </c>
      <c r="L4" s="21" t="s">
        <v>39</v>
      </c>
      <c r="M4" s="22" t="s">
        <v>40</v>
      </c>
      <c r="N4" s="21" t="s">
        <v>40</v>
      </c>
      <c r="O4" s="22" t="s">
        <v>40</v>
      </c>
      <c r="P4" s="21" t="s">
        <v>40</v>
      </c>
      <c r="Q4" s="22" t="s">
        <v>40</v>
      </c>
      <c r="S4" s="6">
        <f>COUNTA(E4:Q4)</f>
        <v>12</v>
      </c>
      <c r="T4" s="26">
        <f>COUNTIF($E4:$Q4,"P")/S4</f>
        <v>0.25</v>
      </c>
      <c r="U4" s="9">
        <f>COUNTIF($E4:$Q4,"A")/S4</f>
        <v>0</v>
      </c>
      <c r="V4" s="9">
        <f>COUNTIF($E4:$Q4,"E")/S4</f>
        <v>0.75</v>
      </c>
      <c r="W4" s="9">
        <f>IF(B4&lt;&gt;"OUI",COUNTIF($E4:$Q4,"Disp")/S4,1)</f>
        <v>0</v>
      </c>
      <c r="X4" s="13">
        <f>U4+V4</f>
        <v>0.75</v>
      </c>
      <c r="Y4" s="6"/>
      <c r="AB4" t="s">
        <v>7</v>
      </c>
    </row>
    <row r="5" spans="1:28" x14ac:dyDescent="0.3">
      <c r="A5" s="4" t="s">
        <v>38</v>
      </c>
      <c r="C5" s="18" t="s">
        <v>0</v>
      </c>
      <c r="D5" s="10" t="s">
        <v>13</v>
      </c>
      <c r="E5" s="24" t="s">
        <v>39</v>
      </c>
      <c r="F5" s="23" t="s">
        <v>39</v>
      </c>
      <c r="G5" s="24" t="s">
        <v>39</v>
      </c>
      <c r="H5" s="23" t="s">
        <v>39</v>
      </c>
      <c r="I5" s="24" t="s">
        <v>39</v>
      </c>
      <c r="J5" s="23"/>
      <c r="K5" s="24" t="s">
        <v>39</v>
      </c>
      <c r="L5" s="23" t="s">
        <v>39</v>
      </c>
      <c r="M5" s="24" t="s">
        <v>39</v>
      </c>
      <c r="N5" s="23" t="s">
        <v>39</v>
      </c>
      <c r="O5" s="24" t="s">
        <v>39</v>
      </c>
      <c r="P5" s="23" t="s">
        <v>39</v>
      </c>
      <c r="Q5" s="24" t="s">
        <v>39</v>
      </c>
      <c r="S5" s="6">
        <f>COUNTA(E5:Q5)</f>
        <v>12</v>
      </c>
      <c r="T5" s="26">
        <f>COUNTIF($E5:$Q5,"P")/S5</f>
        <v>1</v>
      </c>
      <c r="U5" s="9">
        <f>COUNTIF($E5:$Q5,"A")/S5</f>
        <v>0</v>
      </c>
      <c r="V5" s="9">
        <f>COUNTIF($E5:$Q5,"E")/S5</f>
        <v>0</v>
      </c>
      <c r="W5" s="9">
        <f>IF(B5&lt;&gt;"OUI",COUNTIF($E5:$Q5,"Disp")/S5,1)</f>
        <v>0</v>
      </c>
      <c r="X5" s="13">
        <f t="shared" ref="X5:X28" si="0">U5+V5</f>
        <v>0</v>
      </c>
      <c r="Y5" s="13">
        <f>X5</f>
        <v>0</v>
      </c>
      <c r="AB5" t="s">
        <v>8</v>
      </c>
    </row>
    <row r="6" spans="1:28" x14ac:dyDescent="0.3">
      <c r="C6" s="18" t="s">
        <v>49</v>
      </c>
      <c r="D6" s="10" t="s">
        <v>13</v>
      </c>
      <c r="E6" s="24" t="s">
        <v>39</v>
      </c>
      <c r="F6" s="23" t="s">
        <v>40</v>
      </c>
      <c r="G6" s="24" t="s">
        <v>39</v>
      </c>
      <c r="H6" s="23" t="s">
        <v>40</v>
      </c>
      <c r="I6" s="24" t="s">
        <v>40</v>
      </c>
      <c r="J6" s="23"/>
      <c r="K6" s="24" t="s">
        <v>39</v>
      </c>
      <c r="L6" s="23" t="s">
        <v>40</v>
      </c>
      <c r="M6" s="24" t="s">
        <v>39</v>
      </c>
      <c r="N6" s="23" t="s">
        <v>40</v>
      </c>
      <c r="O6" s="24" t="s">
        <v>40</v>
      </c>
      <c r="P6" s="23" t="s">
        <v>40</v>
      </c>
      <c r="Q6" s="24" t="s">
        <v>40</v>
      </c>
      <c r="S6" s="6">
        <f>COUNTA(E6:Q6)</f>
        <v>12</v>
      </c>
      <c r="T6" s="26">
        <f>COUNTIF($E6:$Q6,"P")/S6</f>
        <v>0.33333333333333331</v>
      </c>
      <c r="U6" s="9">
        <f>COUNTIF($E6:$Q6,"A")/S6</f>
        <v>0</v>
      </c>
      <c r="V6" s="9">
        <f>COUNTIF($E6:$Q6,"E")/S6</f>
        <v>0.66666666666666663</v>
      </c>
      <c r="W6" s="9">
        <f>IF(B6&lt;&gt;"OUI",COUNTIF($E6:$Q6,"Disp")/S6,1)</f>
        <v>0</v>
      </c>
      <c r="X6" s="13">
        <f t="shared" si="0"/>
        <v>0.66666666666666663</v>
      </c>
      <c r="Y6" s="13"/>
      <c r="AB6" t="s">
        <v>9</v>
      </c>
    </row>
    <row r="7" spans="1:28" x14ac:dyDescent="0.3">
      <c r="C7" s="18" t="s">
        <v>50</v>
      </c>
      <c r="D7" s="10" t="s">
        <v>13</v>
      </c>
      <c r="E7" s="24" t="s">
        <v>39</v>
      </c>
      <c r="F7" s="23" t="s">
        <v>39</v>
      </c>
      <c r="G7" s="24" t="s">
        <v>39</v>
      </c>
      <c r="H7" s="23" t="s">
        <v>39</v>
      </c>
      <c r="I7" s="24" t="s">
        <v>39</v>
      </c>
      <c r="J7" s="23"/>
      <c r="K7" s="24" t="s">
        <v>39</v>
      </c>
      <c r="L7" s="23" t="s">
        <v>40</v>
      </c>
      <c r="M7" s="24" t="s">
        <v>40</v>
      </c>
      <c r="N7" s="23" t="s">
        <v>39</v>
      </c>
      <c r="O7" s="24" t="s">
        <v>39</v>
      </c>
      <c r="P7" s="23" t="s">
        <v>39</v>
      </c>
      <c r="Q7" s="24" t="s">
        <v>39</v>
      </c>
      <c r="S7" s="6">
        <f>COUNTA(E7:Q7)</f>
        <v>12</v>
      </c>
      <c r="T7" s="26">
        <f>COUNTIF($E7:$Q7,"P")/S7</f>
        <v>0.83333333333333337</v>
      </c>
      <c r="U7" s="9">
        <f>COUNTIF($E7:$Q7,"A")/S7</f>
        <v>0</v>
      </c>
      <c r="V7" s="9">
        <f>COUNTIF($E7:$Q7,"E")/S7</f>
        <v>0.16666666666666666</v>
      </c>
      <c r="W7" s="9">
        <f>IF(B7&lt;&gt;"OUI",COUNTIF($E7:$Q7,"Disp")/S7,1)</f>
        <v>0</v>
      </c>
      <c r="X7" s="13">
        <f t="shared" si="0"/>
        <v>0.16666666666666666</v>
      </c>
      <c r="Y7" s="6"/>
    </row>
    <row r="8" spans="1:28" x14ac:dyDescent="0.3">
      <c r="C8" s="18" t="s">
        <v>51</v>
      </c>
      <c r="D8" s="10" t="s">
        <v>13</v>
      </c>
      <c r="E8" s="24" t="s">
        <v>40</v>
      </c>
      <c r="F8" s="23" t="s">
        <v>39</v>
      </c>
      <c r="G8" s="24" t="s">
        <v>39</v>
      </c>
      <c r="H8" s="23" t="s">
        <v>40</v>
      </c>
      <c r="I8" s="24" t="s">
        <v>40</v>
      </c>
      <c r="J8" s="23"/>
      <c r="K8" s="24" t="s">
        <v>40</v>
      </c>
      <c r="L8" s="23" t="s">
        <v>40</v>
      </c>
      <c r="M8" s="24" t="s">
        <v>40</v>
      </c>
      <c r="N8" s="23" t="s">
        <v>40</v>
      </c>
      <c r="O8" s="24" t="s">
        <v>40</v>
      </c>
      <c r="P8" s="23" t="s">
        <v>40</v>
      </c>
      <c r="Q8" s="24" t="s">
        <v>40</v>
      </c>
      <c r="S8" s="6">
        <f>COUNTA(E8:Q8)</f>
        <v>12</v>
      </c>
      <c r="T8" s="26">
        <f>COUNTIF($E8:$Q8,"P")/S8</f>
        <v>0.16666666666666666</v>
      </c>
      <c r="U8" s="9">
        <f>COUNTIF($E8:$Q8,"A")/S8</f>
        <v>0</v>
      </c>
      <c r="V8" s="9">
        <f>COUNTIF($E8:$Q8,"E")/S8</f>
        <v>0.83333333333333337</v>
      </c>
      <c r="W8" s="9">
        <f>IF(B8&lt;&gt;"OUI",COUNTIF($E8:$Q8,"Disp")/S8,1)</f>
        <v>0</v>
      </c>
      <c r="X8" s="13">
        <f t="shared" si="0"/>
        <v>0.83333333333333337</v>
      </c>
      <c r="Y8" s="13"/>
    </row>
    <row r="9" spans="1:28" x14ac:dyDescent="0.3">
      <c r="A9" s="4" t="s">
        <v>72</v>
      </c>
      <c r="C9" s="18" t="s">
        <v>79</v>
      </c>
      <c r="D9" s="10" t="s">
        <v>13</v>
      </c>
      <c r="E9" s="24" t="s">
        <v>39</v>
      </c>
      <c r="F9" s="23" t="s">
        <v>39</v>
      </c>
      <c r="G9" s="24" t="s">
        <v>39</v>
      </c>
      <c r="H9" s="23" t="s">
        <v>39</v>
      </c>
      <c r="I9" s="24" t="s">
        <v>39</v>
      </c>
      <c r="J9" s="23"/>
      <c r="K9" s="24" t="s">
        <v>40</v>
      </c>
      <c r="L9" s="23" t="s">
        <v>40</v>
      </c>
      <c r="M9" s="24" t="s">
        <v>40</v>
      </c>
      <c r="N9" s="23" t="s">
        <v>40</v>
      </c>
      <c r="O9" s="24" t="s">
        <v>40</v>
      </c>
      <c r="P9" s="23" t="s">
        <v>40</v>
      </c>
      <c r="Q9" s="24" t="s">
        <v>40</v>
      </c>
      <c r="S9" s="6">
        <f t="shared" ref="S9:S10" si="1">COUNTA(E9:Q9)</f>
        <v>12</v>
      </c>
      <c r="T9" s="26">
        <f t="shared" ref="T9:T10" si="2">COUNTIF($E9:$Q9,"P")/S9</f>
        <v>0.41666666666666669</v>
      </c>
      <c r="U9" s="9">
        <f t="shared" ref="U9:U10" si="3">COUNTIF($E9:$Q9,"A")/S9</f>
        <v>0</v>
      </c>
      <c r="V9" s="9">
        <f t="shared" ref="V9:V10" si="4">COUNTIF($E9:$Q9,"E")/S9</f>
        <v>0.58333333333333337</v>
      </c>
      <c r="W9" s="9">
        <f t="shared" ref="W9:W10" si="5">IF(B9&lt;&gt;"OUI",COUNTIF($E9:$Q9,"Disp")/S9,1)</f>
        <v>0</v>
      </c>
      <c r="X9" s="13">
        <f t="shared" ref="X9:X10" si="6">U9+V9</f>
        <v>0.58333333333333337</v>
      </c>
      <c r="Y9" s="13">
        <f t="shared" ref="Y9:Y16" si="7">X9</f>
        <v>0.58333333333333337</v>
      </c>
    </row>
    <row r="10" spans="1:28" x14ac:dyDescent="0.3">
      <c r="C10" s="18" t="s">
        <v>80</v>
      </c>
      <c r="D10" s="10" t="s">
        <v>13</v>
      </c>
      <c r="E10" s="24" t="s">
        <v>40</v>
      </c>
      <c r="F10" s="23" t="s">
        <v>40</v>
      </c>
      <c r="G10" s="32"/>
      <c r="H10" s="33"/>
      <c r="I10" s="32"/>
      <c r="J10" s="33"/>
      <c r="K10" s="32"/>
      <c r="L10" s="33"/>
      <c r="M10" s="32"/>
      <c r="N10" s="33"/>
      <c r="O10" s="32"/>
      <c r="P10" s="33"/>
      <c r="Q10" s="32"/>
      <c r="S10" s="6">
        <f t="shared" si="1"/>
        <v>2</v>
      </c>
      <c r="T10" s="26">
        <f t="shared" si="2"/>
        <v>0</v>
      </c>
      <c r="U10" s="9">
        <f t="shared" si="3"/>
        <v>0</v>
      </c>
      <c r="V10" s="9">
        <f t="shared" si="4"/>
        <v>1</v>
      </c>
      <c r="W10" s="9">
        <f t="shared" si="5"/>
        <v>0</v>
      </c>
      <c r="X10" s="13">
        <f t="shared" si="6"/>
        <v>1</v>
      </c>
      <c r="Y10" s="13"/>
    </row>
    <row r="11" spans="1:28" x14ac:dyDescent="0.3">
      <c r="C11" s="18" t="s">
        <v>52</v>
      </c>
      <c r="D11" s="10" t="s">
        <v>13</v>
      </c>
      <c r="E11" s="24" t="s">
        <v>39</v>
      </c>
      <c r="F11" s="23" t="s">
        <v>39</v>
      </c>
      <c r="G11" s="24" t="s">
        <v>39</v>
      </c>
      <c r="H11" s="23" t="s">
        <v>39</v>
      </c>
      <c r="I11" s="24" t="s">
        <v>39</v>
      </c>
      <c r="J11" s="23"/>
      <c r="K11" s="24" t="s">
        <v>39</v>
      </c>
      <c r="L11" s="23" t="s">
        <v>39</v>
      </c>
      <c r="M11" s="24" t="s">
        <v>39</v>
      </c>
      <c r="N11" s="23" t="s">
        <v>39</v>
      </c>
      <c r="O11" s="24" t="s">
        <v>39</v>
      </c>
      <c r="P11" s="23" t="s">
        <v>39</v>
      </c>
      <c r="Q11" s="24" t="s">
        <v>39</v>
      </c>
      <c r="S11" s="6">
        <f t="shared" ref="S11:S28" si="8">COUNTA(E11:Q11)</f>
        <v>12</v>
      </c>
      <c r="T11" s="26">
        <f t="shared" ref="T11:T28" si="9">COUNTIF($E11:$Q11,"P")/S11</f>
        <v>1</v>
      </c>
      <c r="U11" s="9">
        <f t="shared" ref="U11:U28" si="10">COUNTIF($E11:$Q11,"A")/S11</f>
        <v>0</v>
      </c>
      <c r="V11" s="9">
        <f t="shared" ref="V11:V28" si="11">COUNTIF($E11:$Q11,"E")/S11</f>
        <v>0</v>
      </c>
      <c r="W11" s="9">
        <f t="shared" ref="W11:W28" si="12">IF(B11&lt;&gt;"OUI",COUNTIF($E11:$Q11,"Disp")/S11,1)</f>
        <v>0</v>
      </c>
      <c r="X11" s="13">
        <f t="shared" si="0"/>
        <v>0</v>
      </c>
      <c r="Y11" s="13"/>
    </row>
    <row r="12" spans="1:28" x14ac:dyDescent="0.3">
      <c r="A12" s="4" t="s">
        <v>73</v>
      </c>
      <c r="C12" s="18" t="s">
        <v>53</v>
      </c>
      <c r="D12" s="10" t="s">
        <v>13</v>
      </c>
      <c r="E12" s="24" t="s">
        <v>39</v>
      </c>
      <c r="F12" s="23" t="s">
        <v>39</v>
      </c>
      <c r="G12" s="24" t="s">
        <v>40</v>
      </c>
      <c r="H12" s="23" t="s">
        <v>39</v>
      </c>
      <c r="I12" s="24" t="s">
        <v>39</v>
      </c>
      <c r="J12" s="23"/>
      <c r="K12" s="24" t="s">
        <v>40</v>
      </c>
      <c r="L12" s="23" t="s">
        <v>40</v>
      </c>
      <c r="M12" s="24" t="s">
        <v>39</v>
      </c>
      <c r="N12" s="23" t="s">
        <v>39</v>
      </c>
      <c r="O12" s="24" t="s">
        <v>39</v>
      </c>
      <c r="P12" s="23" t="s">
        <v>39</v>
      </c>
      <c r="Q12" s="24" t="s">
        <v>40</v>
      </c>
      <c r="S12" s="6">
        <f t="shared" si="8"/>
        <v>12</v>
      </c>
      <c r="T12" s="26">
        <f t="shared" si="9"/>
        <v>0.66666666666666663</v>
      </c>
      <c r="U12" s="9">
        <f t="shared" si="10"/>
        <v>0</v>
      </c>
      <c r="V12" s="9">
        <f t="shared" si="11"/>
        <v>0.33333333333333331</v>
      </c>
      <c r="W12" s="9">
        <f t="shared" si="12"/>
        <v>0</v>
      </c>
      <c r="X12" s="13">
        <f t="shared" si="0"/>
        <v>0.33333333333333331</v>
      </c>
      <c r="Y12" s="13">
        <f t="shared" si="7"/>
        <v>0.33333333333333331</v>
      </c>
    </row>
    <row r="13" spans="1:28" x14ac:dyDescent="0.3">
      <c r="A13" s="4" t="s">
        <v>36</v>
      </c>
      <c r="C13" s="18" t="s">
        <v>54</v>
      </c>
      <c r="D13" s="10" t="s">
        <v>13</v>
      </c>
      <c r="E13" s="24" t="s">
        <v>39</v>
      </c>
      <c r="F13" s="23" t="s">
        <v>39</v>
      </c>
      <c r="G13" s="24" t="s">
        <v>39</v>
      </c>
      <c r="H13" s="23" t="s">
        <v>39</v>
      </c>
      <c r="I13" s="24" t="s">
        <v>39</v>
      </c>
      <c r="J13" s="23"/>
      <c r="K13" s="24" t="s">
        <v>40</v>
      </c>
      <c r="L13" s="23" t="s">
        <v>40</v>
      </c>
      <c r="M13" s="24" t="s">
        <v>40</v>
      </c>
      <c r="N13" s="23" t="s">
        <v>39</v>
      </c>
      <c r="O13" s="24" t="s">
        <v>40</v>
      </c>
      <c r="P13" s="23" t="s">
        <v>40</v>
      </c>
      <c r="Q13" s="24" t="s">
        <v>39</v>
      </c>
      <c r="S13" s="6">
        <f t="shared" si="8"/>
        <v>12</v>
      </c>
      <c r="T13" s="26">
        <f t="shared" si="9"/>
        <v>0.58333333333333337</v>
      </c>
      <c r="U13" s="9">
        <f t="shared" si="10"/>
        <v>0</v>
      </c>
      <c r="V13" s="9">
        <f t="shared" si="11"/>
        <v>0.41666666666666669</v>
      </c>
      <c r="W13" s="9">
        <f t="shared" si="12"/>
        <v>0</v>
      </c>
      <c r="X13" s="13">
        <f t="shared" si="0"/>
        <v>0.41666666666666669</v>
      </c>
      <c r="Y13" s="13">
        <f t="shared" si="7"/>
        <v>0.41666666666666669</v>
      </c>
    </row>
    <row r="14" spans="1:28" x14ac:dyDescent="0.3">
      <c r="A14" s="4" t="s">
        <v>70</v>
      </c>
      <c r="C14" s="18" t="s">
        <v>1</v>
      </c>
      <c r="D14" s="10" t="s">
        <v>13</v>
      </c>
      <c r="E14" s="24" t="s">
        <v>39</v>
      </c>
      <c r="F14" s="23" t="s">
        <v>39</v>
      </c>
      <c r="G14" s="24" t="s">
        <v>39</v>
      </c>
      <c r="H14" s="23" t="s">
        <v>39</v>
      </c>
      <c r="I14" s="24" t="s">
        <v>39</v>
      </c>
      <c r="J14" s="23"/>
      <c r="K14" s="24" t="s">
        <v>39</v>
      </c>
      <c r="L14" s="23" t="s">
        <v>39</v>
      </c>
      <c r="M14" s="24" t="s">
        <v>39</v>
      </c>
      <c r="N14" s="23" t="s">
        <v>39</v>
      </c>
      <c r="O14" s="24" t="s">
        <v>39</v>
      </c>
      <c r="P14" s="23" t="s">
        <v>39</v>
      </c>
      <c r="Q14" s="24" t="s">
        <v>39</v>
      </c>
      <c r="S14" s="6">
        <f t="shared" si="8"/>
        <v>12</v>
      </c>
      <c r="T14" s="26">
        <f t="shared" si="9"/>
        <v>1</v>
      </c>
      <c r="U14" s="9">
        <f t="shared" si="10"/>
        <v>0</v>
      </c>
      <c r="V14" s="9">
        <f t="shared" si="11"/>
        <v>0</v>
      </c>
      <c r="W14" s="9">
        <f t="shared" si="12"/>
        <v>0</v>
      </c>
      <c r="X14" s="13">
        <f t="shared" si="0"/>
        <v>0</v>
      </c>
      <c r="Y14" s="13">
        <f t="shared" si="7"/>
        <v>0</v>
      </c>
    </row>
    <row r="15" spans="1:28" x14ac:dyDescent="0.3">
      <c r="C15" s="18" t="s">
        <v>77</v>
      </c>
      <c r="D15" s="10" t="s">
        <v>13</v>
      </c>
      <c r="E15" s="24" t="s">
        <v>39</v>
      </c>
      <c r="F15" s="23" t="s">
        <v>39</v>
      </c>
      <c r="G15" s="24" t="s">
        <v>39</v>
      </c>
      <c r="H15" s="23" t="s">
        <v>40</v>
      </c>
      <c r="I15" s="24" t="s">
        <v>39</v>
      </c>
      <c r="J15" s="23"/>
      <c r="K15" s="24" t="s">
        <v>39</v>
      </c>
      <c r="L15" s="23" t="s">
        <v>40</v>
      </c>
      <c r="M15" s="24" t="s">
        <v>40</v>
      </c>
      <c r="N15" s="23" t="s">
        <v>40</v>
      </c>
      <c r="O15" s="24" t="s">
        <v>39</v>
      </c>
      <c r="P15" s="23" t="s">
        <v>39</v>
      </c>
      <c r="Q15" s="24" t="s">
        <v>40</v>
      </c>
      <c r="S15" s="6">
        <f t="shared" si="8"/>
        <v>12</v>
      </c>
      <c r="T15" s="26">
        <f t="shared" si="9"/>
        <v>0.58333333333333337</v>
      </c>
      <c r="U15" s="9">
        <f t="shared" si="10"/>
        <v>0</v>
      </c>
      <c r="V15" s="9">
        <f t="shared" si="11"/>
        <v>0.41666666666666669</v>
      </c>
      <c r="W15" s="9">
        <f t="shared" si="12"/>
        <v>0</v>
      </c>
      <c r="X15" s="13">
        <f t="shared" si="0"/>
        <v>0.41666666666666669</v>
      </c>
      <c r="Y15" s="13"/>
    </row>
    <row r="16" spans="1:28" x14ac:dyDescent="0.3">
      <c r="A16" s="4" t="s">
        <v>35</v>
      </c>
      <c r="C16" s="18" t="s">
        <v>55</v>
      </c>
      <c r="D16" s="10" t="s">
        <v>13</v>
      </c>
      <c r="E16" s="24" t="s">
        <v>39</v>
      </c>
      <c r="F16" s="23" t="s">
        <v>39</v>
      </c>
      <c r="G16" s="24" t="s">
        <v>39</v>
      </c>
      <c r="H16" s="23" t="s">
        <v>39</v>
      </c>
      <c r="I16" s="24" t="s">
        <v>39</v>
      </c>
      <c r="J16" s="23"/>
      <c r="K16" s="24" t="s">
        <v>39</v>
      </c>
      <c r="L16" s="23" t="s">
        <v>39</v>
      </c>
      <c r="M16" s="24" t="s">
        <v>39</v>
      </c>
      <c r="N16" s="23" t="s">
        <v>39</v>
      </c>
      <c r="O16" s="24" t="s">
        <v>39</v>
      </c>
      <c r="P16" s="23" t="s">
        <v>39</v>
      </c>
      <c r="Q16" s="24" t="s">
        <v>39</v>
      </c>
      <c r="S16" s="6">
        <f t="shared" si="8"/>
        <v>12</v>
      </c>
      <c r="T16" s="26">
        <f t="shared" si="9"/>
        <v>1</v>
      </c>
      <c r="U16" s="9">
        <f t="shared" si="10"/>
        <v>0</v>
      </c>
      <c r="V16" s="9">
        <f t="shared" si="11"/>
        <v>0</v>
      </c>
      <c r="W16" s="9">
        <f t="shared" si="12"/>
        <v>0</v>
      </c>
      <c r="X16" s="13">
        <f t="shared" si="0"/>
        <v>0</v>
      </c>
      <c r="Y16" s="13">
        <f t="shared" si="7"/>
        <v>0</v>
      </c>
    </row>
    <row r="17" spans="1:25" x14ac:dyDescent="0.3">
      <c r="C17" s="18" t="s">
        <v>56</v>
      </c>
      <c r="D17" s="10" t="s">
        <v>13</v>
      </c>
      <c r="E17" s="24" t="s">
        <v>39</v>
      </c>
      <c r="F17" s="23" t="s">
        <v>39</v>
      </c>
      <c r="G17" s="24" t="s">
        <v>39</v>
      </c>
      <c r="H17" s="23" t="s">
        <v>40</v>
      </c>
      <c r="I17" s="24" t="s">
        <v>39</v>
      </c>
      <c r="J17" s="23"/>
      <c r="K17" s="24" t="s">
        <v>40</v>
      </c>
      <c r="L17" s="23" t="s">
        <v>40</v>
      </c>
      <c r="M17" s="24" t="s">
        <v>40</v>
      </c>
      <c r="N17" s="23" t="s">
        <v>39</v>
      </c>
      <c r="O17" s="24" t="s">
        <v>39</v>
      </c>
      <c r="P17" s="23" t="s">
        <v>39</v>
      </c>
      <c r="Q17" s="24" t="s">
        <v>40</v>
      </c>
      <c r="S17" s="6">
        <f t="shared" si="8"/>
        <v>12</v>
      </c>
      <c r="T17" s="26">
        <f t="shared" si="9"/>
        <v>0.58333333333333337</v>
      </c>
      <c r="U17" s="9">
        <f t="shared" si="10"/>
        <v>0</v>
      </c>
      <c r="V17" s="9">
        <f t="shared" si="11"/>
        <v>0.41666666666666669</v>
      </c>
      <c r="W17" s="9">
        <f t="shared" si="12"/>
        <v>0</v>
      </c>
      <c r="X17" s="13">
        <f t="shared" si="0"/>
        <v>0.41666666666666669</v>
      </c>
      <c r="Y17" s="13"/>
    </row>
    <row r="18" spans="1:25" x14ac:dyDescent="0.3">
      <c r="A18" s="4" t="s">
        <v>43</v>
      </c>
      <c r="C18" s="18" t="s">
        <v>2</v>
      </c>
      <c r="D18" s="10" t="s">
        <v>13</v>
      </c>
      <c r="E18" s="24" t="s">
        <v>39</v>
      </c>
      <c r="F18" s="23" t="s">
        <v>39</v>
      </c>
      <c r="G18" s="24" t="s">
        <v>39</v>
      </c>
      <c r="H18" s="23" t="s">
        <v>39</v>
      </c>
      <c r="I18" s="24" t="s">
        <v>39</v>
      </c>
      <c r="J18" s="23"/>
      <c r="K18" s="24" t="s">
        <v>39</v>
      </c>
      <c r="L18" s="23" t="s">
        <v>40</v>
      </c>
      <c r="M18" s="24" t="s">
        <v>39</v>
      </c>
      <c r="N18" s="23" t="s">
        <v>39</v>
      </c>
      <c r="O18" s="24" t="s">
        <v>39</v>
      </c>
      <c r="P18" s="23" t="s">
        <v>39</v>
      </c>
      <c r="Q18" s="24" t="s">
        <v>39</v>
      </c>
      <c r="S18" s="6">
        <f t="shared" si="8"/>
        <v>12</v>
      </c>
      <c r="T18" s="26">
        <f t="shared" si="9"/>
        <v>0.91666666666666663</v>
      </c>
      <c r="U18" s="9">
        <f t="shared" si="10"/>
        <v>0</v>
      </c>
      <c r="V18" s="9">
        <f t="shared" si="11"/>
        <v>8.3333333333333329E-2</v>
      </c>
      <c r="W18" s="9">
        <f t="shared" si="12"/>
        <v>0</v>
      </c>
      <c r="X18" s="13">
        <f t="shared" si="0"/>
        <v>8.3333333333333329E-2</v>
      </c>
      <c r="Y18" s="13">
        <f>X18</f>
        <v>8.3333333333333329E-2</v>
      </c>
    </row>
    <row r="19" spans="1:25" x14ac:dyDescent="0.3">
      <c r="C19" s="18" t="s">
        <v>3</v>
      </c>
      <c r="D19" s="10" t="s">
        <v>13</v>
      </c>
      <c r="E19" s="24" t="s">
        <v>39</v>
      </c>
      <c r="F19" s="23" t="s">
        <v>39</v>
      </c>
      <c r="G19" s="24" t="s">
        <v>39</v>
      </c>
      <c r="H19" s="23" t="s">
        <v>39</v>
      </c>
      <c r="I19" s="24" t="s">
        <v>40</v>
      </c>
      <c r="J19" s="23"/>
      <c r="K19" s="24" t="s">
        <v>39</v>
      </c>
      <c r="L19" s="23" t="s">
        <v>39</v>
      </c>
      <c r="M19" s="24" t="s">
        <v>39</v>
      </c>
      <c r="N19" s="23" t="s">
        <v>39</v>
      </c>
      <c r="O19" s="24" t="s">
        <v>39</v>
      </c>
      <c r="P19" s="23" t="s">
        <v>39</v>
      </c>
      <c r="Q19" s="24" t="s">
        <v>39</v>
      </c>
      <c r="S19" s="6">
        <f t="shared" si="8"/>
        <v>12</v>
      </c>
      <c r="T19" s="26">
        <f t="shared" si="9"/>
        <v>0.91666666666666663</v>
      </c>
      <c r="U19" s="9">
        <f t="shared" si="10"/>
        <v>0</v>
      </c>
      <c r="V19" s="9">
        <f t="shared" si="11"/>
        <v>8.3333333333333329E-2</v>
      </c>
      <c r="W19" s="9">
        <f t="shared" si="12"/>
        <v>0</v>
      </c>
      <c r="X19" s="13">
        <f t="shared" si="0"/>
        <v>8.3333333333333329E-2</v>
      </c>
      <c r="Y19" s="6"/>
    </row>
    <row r="20" spans="1:25" x14ac:dyDescent="0.3">
      <c r="A20" s="4" t="s">
        <v>45</v>
      </c>
      <c r="C20" s="18" t="s">
        <v>57</v>
      </c>
      <c r="D20" s="10" t="s">
        <v>13</v>
      </c>
      <c r="E20" s="24" t="s">
        <v>39</v>
      </c>
      <c r="F20" s="23" t="s">
        <v>39</v>
      </c>
      <c r="G20" s="24" t="s">
        <v>39</v>
      </c>
      <c r="H20" s="23" t="s">
        <v>39</v>
      </c>
      <c r="I20" s="24" t="s">
        <v>40</v>
      </c>
      <c r="J20" s="23"/>
      <c r="K20" s="24" t="s">
        <v>39</v>
      </c>
      <c r="L20" s="23" t="s">
        <v>40</v>
      </c>
      <c r="M20" s="24" t="s">
        <v>39</v>
      </c>
      <c r="N20" s="23" t="s">
        <v>39</v>
      </c>
      <c r="O20" s="24" t="s">
        <v>39</v>
      </c>
      <c r="P20" s="23" t="s">
        <v>39</v>
      </c>
      <c r="Q20" s="24" t="s">
        <v>39</v>
      </c>
      <c r="S20" s="6">
        <f t="shared" si="8"/>
        <v>12</v>
      </c>
      <c r="T20" s="26">
        <f t="shared" si="9"/>
        <v>0.83333333333333337</v>
      </c>
      <c r="U20" s="9">
        <f t="shared" si="10"/>
        <v>0</v>
      </c>
      <c r="V20" s="9">
        <f t="shared" si="11"/>
        <v>0.16666666666666666</v>
      </c>
      <c r="W20" s="9">
        <f t="shared" si="12"/>
        <v>0</v>
      </c>
      <c r="X20" s="13">
        <f t="shared" si="0"/>
        <v>0.16666666666666666</v>
      </c>
      <c r="Y20" s="13">
        <f>X20</f>
        <v>0.16666666666666666</v>
      </c>
    </row>
    <row r="21" spans="1:25" x14ac:dyDescent="0.3">
      <c r="C21" s="18" t="s">
        <v>58</v>
      </c>
      <c r="D21" s="10" t="s">
        <v>13</v>
      </c>
      <c r="E21" s="24" t="s">
        <v>39</v>
      </c>
      <c r="F21" s="23" t="s">
        <v>39</v>
      </c>
      <c r="G21" s="24" t="s">
        <v>39</v>
      </c>
      <c r="H21" s="23" t="s">
        <v>40</v>
      </c>
      <c r="I21" s="24" t="s">
        <v>39</v>
      </c>
      <c r="J21" s="23"/>
      <c r="K21" s="24" t="s">
        <v>40</v>
      </c>
      <c r="L21" s="23" t="s">
        <v>39</v>
      </c>
      <c r="M21" s="24" t="s">
        <v>39</v>
      </c>
      <c r="N21" s="23" t="s">
        <v>39</v>
      </c>
      <c r="O21" s="24" t="s">
        <v>40</v>
      </c>
      <c r="P21" s="23" t="s">
        <v>40</v>
      </c>
      <c r="Q21" s="24" t="s">
        <v>39</v>
      </c>
      <c r="S21" s="6">
        <f t="shared" si="8"/>
        <v>12</v>
      </c>
      <c r="T21" s="26">
        <f t="shared" si="9"/>
        <v>0.66666666666666663</v>
      </c>
      <c r="U21" s="9">
        <f t="shared" si="10"/>
        <v>0</v>
      </c>
      <c r="V21" s="9">
        <f t="shared" si="11"/>
        <v>0.33333333333333331</v>
      </c>
      <c r="W21" s="9">
        <f t="shared" si="12"/>
        <v>0</v>
      </c>
      <c r="X21" s="13">
        <f t="shared" si="0"/>
        <v>0.33333333333333331</v>
      </c>
      <c r="Y21" s="6"/>
    </row>
    <row r="22" spans="1:25" x14ac:dyDescent="0.3">
      <c r="A22" s="4" t="s">
        <v>42</v>
      </c>
      <c r="C22" s="18" t="s">
        <v>59</v>
      </c>
      <c r="D22" s="10" t="s">
        <v>13</v>
      </c>
      <c r="E22" s="24" t="s">
        <v>39</v>
      </c>
      <c r="F22" s="23" t="s">
        <v>39</v>
      </c>
      <c r="G22" s="24" t="s">
        <v>39</v>
      </c>
      <c r="H22" s="23" t="s">
        <v>39</v>
      </c>
      <c r="I22" s="24" t="s">
        <v>39</v>
      </c>
      <c r="J22" s="23"/>
      <c r="K22" s="24" t="s">
        <v>39</v>
      </c>
      <c r="L22" s="23" t="s">
        <v>39</v>
      </c>
      <c r="M22" s="24" t="s">
        <v>39</v>
      </c>
      <c r="N22" s="23" t="s">
        <v>39</v>
      </c>
      <c r="O22" s="24" t="s">
        <v>40</v>
      </c>
      <c r="P22" s="23" t="s">
        <v>40</v>
      </c>
      <c r="Q22" s="24" t="s">
        <v>39</v>
      </c>
      <c r="S22" s="6">
        <f t="shared" si="8"/>
        <v>12</v>
      </c>
      <c r="T22" s="26">
        <f t="shared" si="9"/>
        <v>0.83333333333333337</v>
      </c>
      <c r="U22" s="9">
        <f t="shared" si="10"/>
        <v>0</v>
      </c>
      <c r="V22" s="9">
        <f t="shared" si="11"/>
        <v>0.16666666666666666</v>
      </c>
      <c r="W22" s="9">
        <f t="shared" si="12"/>
        <v>0</v>
      </c>
      <c r="X22" s="13">
        <f t="shared" si="0"/>
        <v>0.16666666666666666</v>
      </c>
      <c r="Y22" s="13">
        <f>X22</f>
        <v>0.16666666666666666</v>
      </c>
    </row>
    <row r="23" spans="1:25" x14ac:dyDescent="0.3">
      <c r="C23" s="18" t="s">
        <v>61</v>
      </c>
      <c r="D23" s="10" t="s">
        <v>13</v>
      </c>
      <c r="E23" s="24" t="s">
        <v>39</v>
      </c>
      <c r="F23" s="23" t="s">
        <v>40</v>
      </c>
      <c r="G23" s="24" t="s">
        <v>39</v>
      </c>
      <c r="H23" s="23" t="s">
        <v>40</v>
      </c>
      <c r="I23" s="24" t="s">
        <v>40</v>
      </c>
      <c r="J23" s="23"/>
      <c r="K23" s="24" t="s">
        <v>39</v>
      </c>
      <c r="L23" s="23" t="s">
        <v>40</v>
      </c>
      <c r="M23" s="24" t="s">
        <v>39</v>
      </c>
      <c r="N23" s="23" t="s">
        <v>40</v>
      </c>
      <c r="O23" s="24" t="s">
        <v>40</v>
      </c>
      <c r="P23" s="23" t="s">
        <v>40</v>
      </c>
      <c r="Q23" s="24" t="s">
        <v>40</v>
      </c>
      <c r="S23" s="6">
        <f t="shared" si="8"/>
        <v>12</v>
      </c>
      <c r="T23" s="26">
        <f t="shared" si="9"/>
        <v>0.33333333333333331</v>
      </c>
      <c r="U23" s="9">
        <f t="shared" si="10"/>
        <v>0</v>
      </c>
      <c r="V23" s="9">
        <f t="shared" si="11"/>
        <v>0.66666666666666663</v>
      </c>
      <c r="W23" s="9">
        <f t="shared" si="12"/>
        <v>0</v>
      </c>
      <c r="X23" s="13">
        <f t="shared" si="0"/>
        <v>0.66666666666666663</v>
      </c>
      <c r="Y23" s="6"/>
    </row>
    <row r="24" spans="1:25" x14ac:dyDescent="0.3">
      <c r="A24" s="4" t="s">
        <v>85</v>
      </c>
      <c r="C24" s="18" t="s">
        <v>64</v>
      </c>
      <c r="D24" s="10" t="s">
        <v>13</v>
      </c>
      <c r="E24" s="24" t="s">
        <v>39</v>
      </c>
      <c r="F24" s="23" t="s">
        <v>39</v>
      </c>
      <c r="G24" s="24" t="s">
        <v>39</v>
      </c>
      <c r="H24" s="23" t="s">
        <v>40</v>
      </c>
      <c r="I24" s="24" t="s">
        <v>40</v>
      </c>
      <c r="J24" s="23"/>
      <c r="K24" s="24" t="s">
        <v>39</v>
      </c>
      <c r="L24" s="23" t="s">
        <v>39</v>
      </c>
      <c r="M24" s="24" t="s">
        <v>40</v>
      </c>
      <c r="N24" s="23" t="s">
        <v>39</v>
      </c>
      <c r="O24" s="24" t="s">
        <v>39</v>
      </c>
      <c r="P24" s="23" t="s">
        <v>39</v>
      </c>
      <c r="Q24" s="24" t="s">
        <v>40</v>
      </c>
      <c r="S24" s="6">
        <f t="shared" si="8"/>
        <v>12</v>
      </c>
      <c r="T24" s="26">
        <f t="shared" si="9"/>
        <v>0.66666666666666663</v>
      </c>
      <c r="U24" s="9">
        <f t="shared" si="10"/>
        <v>0</v>
      </c>
      <c r="V24" s="9">
        <f t="shared" si="11"/>
        <v>0.33333333333333331</v>
      </c>
      <c r="W24" s="9">
        <f t="shared" si="12"/>
        <v>0</v>
      </c>
      <c r="X24" s="13">
        <f t="shared" si="0"/>
        <v>0.33333333333333331</v>
      </c>
      <c r="Y24" s="13">
        <f t="shared" ref="Y24" si="13">X24</f>
        <v>0.33333333333333331</v>
      </c>
    </row>
    <row r="25" spans="1:25" x14ac:dyDescent="0.3">
      <c r="C25" s="18" t="s">
        <v>66</v>
      </c>
      <c r="D25" s="10" t="s">
        <v>13</v>
      </c>
      <c r="E25" s="24" t="s">
        <v>39</v>
      </c>
      <c r="F25" s="23" t="s">
        <v>39</v>
      </c>
      <c r="G25" s="24" t="s">
        <v>39</v>
      </c>
      <c r="H25" s="23" t="s">
        <v>40</v>
      </c>
      <c r="I25" s="24" t="s">
        <v>40</v>
      </c>
      <c r="J25" s="23"/>
      <c r="K25" s="24" t="s">
        <v>39</v>
      </c>
      <c r="L25" s="23" t="s">
        <v>39</v>
      </c>
      <c r="M25" s="24" t="s">
        <v>40</v>
      </c>
      <c r="N25" s="23" t="s">
        <v>40</v>
      </c>
      <c r="O25" s="24" t="s">
        <v>40</v>
      </c>
      <c r="P25" s="23" t="s">
        <v>40</v>
      </c>
      <c r="Q25" s="24" t="s">
        <v>40</v>
      </c>
      <c r="S25" s="6">
        <f t="shared" si="8"/>
        <v>12</v>
      </c>
      <c r="T25" s="26">
        <f t="shared" si="9"/>
        <v>0.41666666666666669</v>
      </c>
      <c r="U25" s="9">
        <f t="shared" si="10"/>
        <v>0</v>
      </c>
      <c r="V25" s="9">
        <f t="shared" si="11"/>
        <v>0.58333333333333337</v>
      </c>
      <c r="W25" s="9">
        <f t="shared" si="12"/>
        <v>0</v>
      </c>
      <c r="X25" s="13">
        <f t="shared" si="0"/>
        <v>0.58333333333333337</v>
      </c>
      <c r="Y25" s="6"/>
    </row>
    <row r="26" spans="1:25" x14ac:dyDescent="0.3">
      <c r="C26" s="18" t="s">
        <v>81</v>
      </c>
      <c r="D26" s="10" t="s">
        <v>13</v>
      </c>
      <c r="E26" s="24" t="s">
        <v>39</v>
      </c>
      <c r="F26" s="23" t="s">
        <v>39</v>
      </c>
      <c r="G26" s="24" t="s">
        <v>39</v>
      </c>
      <c r="H26" s="23" t="s">
        <v>40</v>
      </c>
      <c r="I26" s="24" t="s">
        <v>40</v>
      </c>
      <c r="J26" s="23"/>
      <c r="K26" s="24" t="s">
        <v>40</v>
      </c>
      <c r="L26" s="23" t="s">
        <v>40</v>
      </c>
      <c r="M26" s="24" t="s">
        <v>40</v>
      </c>
      <c r="N26" s="23" t="s">
        <v>40</v>
      </c>
      <c r="O26" s="24" t="s">
        <v>40</v>
      </c>
      <c r="P26" s="23" t="s">
        <v>40</v>
      </c>
      <c r="Q26" s="24" t="s">
        <v>40</v>
      </c>
      <c r="S26" s="6">
        <f t="shared" si="8"/>
        <v>12</v>
      </c>
      <c r="T26" s="26">
        <f t="shared" si="9"/>
        <v>0.25</v>
      </c>
      <c r="U26" s="9">
        <f t="shared" si="10"/>
        <v>0</v>
      </c>
      <c r="V26" s="9">
        <f t="shared" si="11"/>
        <v>0.75</v>
      </c>
      <c r="W26" s="9">
        <f t="shared" si="12"/>
        <v>0</v>
      </c>
      <c r="X26" s="13">
        <f t="shared" ref="X26" si="14">U26+V26</f>
        <v>0.75</v>
      </c>
      <c r="Y26" s="6"/>
    </row>
    <row r="27" spans="1:25" x14ac:dyDescent="0.3">
      <c r="A27" s="4" t="s">
        <v>71</v>
      </c>
      <c r="C27" s="18" t="s">
        <v>67</v>
      </c>
      <c r="D27" s="10" t="s">
        <v>13</v>
      </c>
      <c r="E27" s="24" t="s">
        <v>39</v>
      </c>
      <c r="F27" s="23" t="s">
        <v>39</v>
      </c>
      <c r="G27" s="24" t="s">
        <v>39</v>
      </c>
      <c r="H27" s="23" t="s">
        <v>40</v>
      </c>
      <c r="I27" s="24" t="s">
        <v>39</v>
      </c>
      <c r="J27" s="23"/>
      <c r="K27" s="24" t="s">
        <v>39</v>
      </c>
      <c r="L27" s="23" t="s">
        <v>40</v>
      </c>
      <c r="M27" s="24" t="s">
        <v>39</v>
      </c>
      <c r="N27" s="23" t="s">
        <v>39</v>
      </c>
      <c r="O27" s="24" t="s">
        <v>40</v>
      </c>
      <c r="P27" s="23" t="s">
        <v>40</v>
      </c>
      <c r="Q27" s="24" t="s">
        <v>39</v>
      </c>
      <c r="S27" s="6">
        <f t="shared" si="8"/>
        <v>12</v>
      </c>
      <c r="T27" s="26">
        <f t="shared" si="9"/>
        <v>0.66666666666666663</v>
      </c>
      <c r="U27" s="9">
        <f t="shared" si="10"/>
        <v>0</v>
      </c>
      <c r="V27" s="9">
        <f t="shared" si="11"/>
        <v>0.33333333333333331</v>
      </c>
      <c r="W27" s="9">
        <f t="shared" si="12"/>
        <v>0</v>
      </c>
      <c r="X27" s="13">
        <f t="shared" si="0"/>
        <v>0.33333333333333331</v>
      </c>
      <c r="Y27" s="13">
        <f t="shared" ref="Y27:Y28" si="15">X27</f>
        <v>0.33333333333333331</v>
      </c>
    </row>
    <row r="28" spans="1:25" x14ac:dyDescent="0.3">
      <c r="A28" s="4" t="s">
        <v>44</v>
      </c>
      <c r="C28" s="18" t="s">
        <v>69</v>
      </c>
      <c r="D28" s="10" t="s">
        <v>13</v>
      </c>
      <c r="E28" s="24" t="s">
        <v>39</v>
      </c>
      <c r="F28" s="23" t="s">
        <v>39</v>
      </c>
      <c r="G28" s="24" t="s">
        <v>39</v>
      </c>
      <c r="H28" s="23" t="s">
        <v>39</v>
      </c>
      <c r="I28" s="24" t="s">
        <v>39</v>
      </c>
      <c r="J28" s="23"/>
      <c r="K28" s="24" t="s">
        <v>40</v>
      </c>
      <c r="L28" s="23" t="s">
        <v>39</v>
      </c>
      <c r="M28" s="24" t="s">
        <v>40</v>
      </c>
      <c r="N28" s="23" t="s">
        <v>39</v>
      </c>
      <c r="O28" s="24" t="s">
        <v>39</v>
      </c>
      <c r="P28" s="23" t="s">
        <v>39</v>
      </c>
      <c r="Q28" s="24" t="s">
        <v>39</v>
      </c>
      <c r="S28" s="6">
        <f t="shared" si="8"/>
        <v>12</v>
      </c>
      <c r="T28" s="26">
        <f t="shared" si="9"/>
        <v>0.83333333333333337</v>
      </c>
      <c r="U28" s="9">
        <f t="shared" si="10"/>
        <v>0</v>
      </c>
      <c r="V28" s="9">
        <f t="shared" si="11"/>
        <v>0.16666666666666666</v>
      </c>
      <c r="W28" s="9">
        <f t="shared" si="12"/>
        <v>0</v>
      </c>
      <c r="X28" s="13">
        <f t="shared" si="0"/>
        <v>0.16666666666666666</v>
      </c>
      <c r="Y28" s="13">
        <f t="shared" si="15"/>
        <v>0.16666666666666666</v>
      </c>
    </row>
    <row r="29" spans="1:25" x14ac:dyDescent="0.3">
      <c r="C29" s="18"/>
      <c r="E29" s="24"/>
      <c r="F29" s="23"/>
      <c r="G29" s="24"/>
      <c r="H29" s="23"/>
      <c r="I29" s="24"/>
      <c r="J29" s="23"/>
      <c r="K29" s="24"/>
      <c r="L29" s="23"/>
      <c r="M29" s="24"/>
      <c r="N29" s="23"/>
      <c r="O29" s="24"/>
      <c r="P29" s="23"/>
      <c r="Q29" s="24"/>
      <c r="S29" s="6"/>
      <c r="T29" s="26"/>
      <c r="U29" s="9"/>
      <c r="V29" s="9"/>
      <c r="W29" s="9"/>
      <c r="X29" s="13"/>
      <c r="Y29" s="13"/>
    </row>
    <row r="30" spans="1:25" x14ac:dyDescent="0.3">
      <c r="C30" s="18"/>
      <c r="E30" s="24"/>
      <c r="F30" s="23"/>
      <c r="G30" s="24"/>
      <c r="H30" s="23"/>
      <c r="I30" s="24"/>
      <c r="J30" s="23"/>
      <c r="K30" s="24"/>
      <c r="L30" s="23"/>
      <c r="M30" s="24"/>
      <c r="N30" s="23"/>
      <c r="O30" s="24"/>
      <c r="P30" s="23"/>
      <c r="Q30" s="24"/>
      <c r="S30" s="6"/>
      <c r="T30" s="26"/>
      <c r="U30" s="9"/>
      <c r="V30" s="9"/>
      <c r="W30" s="9"/>
      <c r="X30" s="13"/>
      <c r="Y30" s="6"/>
    </row>
    <row r="31" spans="1:25" x14ac:dyDescent="0.3">
      <c r="C31" s="18"/>
      <c r="E31" s="24"/>
      <c r="F31" s="23"/>
      <c r="G31" s="24"/>
      <c r="H31" s="23"/>
      <c r="I31" s="24"/>
      <c r="J31" s="23"/>
      <c r="K31" s="24"/>
      <c r="L31" s="23"/>
      <c r="M31" s="24"/>
      <c r="N31" s="23"/>
      <c r="O31" s="24"/>
      <c r="P31" s="23"/>
      <c r="Q31" s="24"/>
      <c r="S31" s="6"/>
      <c r="T31" s="26"/>
      <c r="U31" s="9"/>
      <c r="V31" s="9"/>
      <c r="W31" s="9"/>
      <c r="X31" s="13"/>
      <c r="Y31" s="13"/>
    </row>
    <row r="32" spans="1:25" x14ac:dyDescent="0.3">
      <c r="C32" s="18"/>
      <c r="E32" s="24"/>
      <c r="F32" s="23"/>
      <c r="G32" s="24"/>
      <c r="H32" s="23"/>
      <c r="I32" s="24"/>
      <c r="J32" s="23"/>
      <c r="K32" s="24"/>
      <c r="L32" s="23"/>
      <c r="M32" s="24"/>
      <c r="N32" s="23"/>
      <c r="O32" s="24"/>
      <c r="P32" s="23"/>
      <c r="Q32" s="24"/>
      <c r="S32" s="6"/>
      <c r="T32" s="26"/>
      <c r="U32" s="9"/>
      <c r="V32" s="9"/>
      <c r="W32" s="9"/>
      <c r="X32" s="13"/>
      <c r="Y32" s="13"/>
    </row>
    <row r="33" spans="3:25" x14ac:dyDescent="0.3">
      <c r="C33" s="18"/>
      <c r="E33" s="24"/>
      <c r="F33" s="23"/>
      <c r="G33" s="24"/>
      <c r="H33" s="23"/>
      <c r="I33" s="24"/>
      <c r="J33" s="23"/>
      <c r="K33" s="24"/>
      <c r="L33" s="23"/>
      <c r="M33" s="24"/>
      <c r="N33" s="23"/>
      <c r="O33" s="24"/>
      <c r="P33" s="23"/>
      <c r="Q33" s="24"/>
      <c r="S33" s="6"/>
      <c r="T33" s="26"/>
      <c r="U33" s="9"/>
      <c r="V33" s="9"/>
      <c r="W33" s="9"/>
      <c r="X33" s="13"/>
      <c r="Y33" s="6"/>
    </row>
    <row r="35" spans="3:25" x14ac:dyDescent="0.3">
      <c r="C35" s="11" t="s">
        <v>19</v>
      </c>
      <c r="E35" s="7">
        <f t="shared" ref="E35:O35" si="16">SUM(E36:E39)</f>
        <v>25</v>
      </c>
      <c r="F35" s="7">
        <f t="shared" si="16"/>
        <v>25</v>
      </c>
      <c r="G35" s="7">
        <f t="shared" si="16"/>
        <v>24</v>
      </c>
      <c r="H35" s="7">
        <f t="shared" si="16"/>
        <v>24</v>
      </c>
      <c r="I35" s="7">
        <f t="shared" si="16"/>
        <v>24</v>
      </c>
      <c r="J35" s="7">
        <f t="shared" si="16"/>
        <v>0</v>
      </c>
      <c r="K35" s="7">
        <f t="shared" si="16"/>
        <v>24</v>
      </c>
      <c r="L35" s="7">
        <f t="shared" si="16"/>
        <v>24</v>
      </c>
      <c r="M35" s="7">
        <f t="shared" si="16"/>
        <v>24</v>
      </c>
      <c r="N35" s="7">
        <f t="shared" si="16"/>
        <v>24</v>
      </c>
      <c r="O35" s="7">
        <f t="shared" si="16"/>
        <v>24</v>
      </c>
      <c r="P35" s="7">
        <f>SUM(P36:P39)</f>
        <v>24</v>
      </c>
      <c r="Q35" s="7">
        <f t="shared" ref="Q35" si="17">SUM(Q36:Q39)</f>
        <v>24</v>
      </c>
      <c r="S35" s="10"/>
    </row>
    <row r="36" spans="3:25" x14ac:dyDescent="0.3">
      <c r="C36" s="11" t="s">
        <v>15</v>
      </c>
      <c r="E36" s="19">
        <f t="shared" ref="E36:Q36" si="18">COUNTIF(E4:E33,"P")</f>
        <v>23</v>
      </c>
      <c r="F36" s="19">
        <f t="shared" si="18"/>
        <v>21</v>
      </c>
      <c r="G36" s="19">
        <f t="shared" si="18"/>
        <v>22</v>
      </c>
      <c r="H36" s="19">
        <f t="shared" si="18"/>
        <v>14</v>
      </c>
      <c r="I36" s="19">
        <f t="shared" si="18"/>
        <v>15</v>
      </c>
      <c r="J36" s="19">
        <f t="shared" si="18"/>
        <v>0</v>
      </c>
      <c r="K36" s="19">
        <f t="shared" si="18"/>
        <v>15</v>
      </c>
      <c r="L36" s="19">
        <f t="shared" si="18"/>
        <v>11</v>
      </c>
      <c r="M36" s="19">
        <f t="shared" si="18"/>
        <v>13</v>
      </c>
      <c r="N36" s="19">
        <f t="shared" si="18"/>
        <v>16</v>
      </c>
      <c r="O36" s="19">
        <f t="shared" si="18"/>
        <v>13</v>
      </c>
      <c r="P36" s="19">
        <f t="shared" si="18"/>
        <v>13</v>
      </c>
      <c r="Q36" s="19">
        <f t="shared" si="18"/>
        <v>13</v>
      </c>
      <c r="S36" s="10"/>
      <c r="U36" s="29"/>
      <c r="V36" s="29"/>
    </row>
    <row r="37" spans="3:25" x14ac:dyDescent="0.3">
      <c r="C37" s="11" t="s">
        <v>17</v>
      </c>
      <c r="E37" s="7">
        <f t="shared" ref="E37:Q37" si="19">COUNTIF(E4:E33,"A")</f>
        <v>0</v>
      </c>
      <c r="F37" s="7">
        <f t="shared" si="19"/>
        <v>0</v>
      </c>
      <c r="G37" s="7">
        <f t="shared" si="19"/>
        <v>0</v>
      </c>
      <c r="H37" s="7">
        <f t="shared" si="19"/>
        <v>0</v>
      </c>
      <c r="I37" s="7">
        <f t="shared" si="19"/>
        <v>0</v>
      </c>
      <c r="J37" s="7">
        <f t="shared" si="19"/>
        <v>0</v>
      </c>
      <c r="K37" s="7">
        <f t="shared" si="19"/>
        <v>0</v>
      </c>
      <c r="L37" s="7">
        <f t="shared" si="19"/>
        <v>0</v>
      </c>
      <c r="M37" s="7">
        <f t="shared" si="19"/>
        <v>0</v>
      </c>
      <c r="N37" s="7">
        <f t="shared" si="19"/>
        <v>0</v>
      </c>
      <c r="O37" s="7">
        <f t="shared" si="19"/>
        <v>0</v>
      </c>
      <c r="P37" s="7">
        <f t="shared" si="19"/>
        <v>0</v>
      </c>
      <c r="Q37" s="7">
        <f t="shared" si="19"/>
        <v>0</v>
      </c>
      <c r="S37" s="10"/>
      <c r="U37" s="29"/>
    </row>
    <row r="38" spans="3:25" x14ac:dyDescent="0.3">
      <c r="C38" s="11" t="s">
        <v>16</v>
      </c>
      <c r="E38" s="7">
        <f t="shared" ref="E38:Q38" si="20">COUNTIF(E4:E33,"E")</f>
        <v>2</v>
      </c>
      <c r="F38" s="7">
        <f t="shared" si="20"/>
        <v>4</v>
      </c>
      <c r="G38" s="7">
        <f t="shared" si="20"/>
        <v>2</v>
      </c>
      <c r="H38" s="7">
        <f t="shared" si="20"/>
        <v>10</v>
      </c>
      <c r="I38" s="7">
        <f t="shared" si="20"/>
        <v>9</v>
      </c>
      <c r="J38" s="7">
        <f t="shared" si="20"/>
        <v>0</v>
      </c>
      <c r="K38" s="7">
        <f t="shared" si="20"/>
        <v>9</v>
      </c>
      <c r="L38" s="7">
        <f t="shared" si="20"/>
        <v>13</v>
      </c>
      <c r="M38" s="7">
        <f t="shared" si="20"/>
        <v>11</v>
      </c>
      <c r="N38" s="7">
        <f t="shared" si="20"/>
        <v>8</v>
      </c>
      <c r="O38" s="7">
        <f t="shared" si="20"/>
        <v>11</v>
      </c>
      <c r="P38" s="7">
        <f t="shared" si="20"/>
        <v>11</v>
      </c>
      <c r="Q38" s="7">
        <f t="shared" si="20"/>
        <v>11</v>
      </c>
      <c r="S38" s="10"/>
      <c r="U38" s="29"/>
    </row>
    <row r="39" spans="3:25" x14ac:dyDescent="0.3">
      <c r="C39" s="11" t="s">
        <v>18</v>
      </c>
      <c r="E39" s="7">
        <f t="shared" ref="E39:Q39" si="21">COUNTIF(E4:E33,"Disp")</f>
        <v>0</v>
      </c>
      <c r="F39" s="7">
        <f t="shared" si="21"/>
        <v>0</v>
      </c>
      <c r="G39" s="7">
        <f t="shared" si="21"/>
        <v>0</v>
      </c>
      <c r="H39" s="7">
        <f t="shared" si="21"/>
        <v>0</v>
      </c>
      <c r="I39" s="7">
        <f t="shared" si="21"/>
        <v>0</v>
      </c>
      <c r="J39" s="7">
        <f t="shared" si="21"/>
        <v>0</v>
      </c>
      <c r="K39" s="7">
        <f t="shared" si="21"/>
        <v>0</v>
      </c>
      <c r="L39" s="7">
        <f t="shared" si="21"/>
        <v>0</v>
      </c>
      <c r="M39" s="7">
        <f t="shared" si="21"/>
        <v>0</v>
      </c>
      <c r="N39" s="7">
        <f t="shared" si="21"/>
        <v>0</v>
      </c>
      <c r="O39" s="7">
        <f t="shared" si="21"/>
        <v>0</v>
      </c>
      <c r="P39" s="7">
        <f t="shared" si="21"/>
        <v>0</v>
      </c>
      <c r="Q39" s="7">
        <f t="shared" si="21"/>
        <v>0</v>
      </c>
      <c r="S39" s="10"/>
      <c r="U39" s="29"/>
    </row>
    <row r="41" spans="3:25" x14ac:dyDescent="0.3">
      <c r="C41" s="12" t="s">
        <v>20</v>
      </c>
      <c r="E41" s="9">
        <f>IF(E35=0,"",E36/E35)</f>
        <v>0.92</v>
      </c>
      <c r="F41" s="9">
        <f t="shared" ref="F41:Q41" si="22">IF(F35=0,"",F36/F35)</f>
        <v>0.84</v>
      </c>
      <c r="G41" s="9">
        <f t="shared" si="22"/>
        <v>0.91666666666666663</v>
      </c>
      <c r="H41" s="9">
        <f t="shared" si="22"/>
        <v>0.58333333333333337</v>
      </c>
      <c r="I41" s="9">
        <f t="shared" si="22"/>
        <v>0.625</v>
      </c>
      <c r="J41" s="9" t="str">
        <f t="shared" si="22"/>
        <v/>
      </c>
      <c r="K41" s="9">
        <f t="shared" si="22"/>
        <v>0.625</v>
      </c>
      <c r="L41" s="9">
        <f t="shared" si="22"/>
        <v>0.45833333333333331</v>
      </c>
      <c r="M41" s="9">
        <f t="shared" si="22"/>
        <v>0.54166666666666663</v>
      </c>
      <c r="N41" s="9">
        <f t="shared" si="22"/>
        <v>0.66666666666666663</v>
      </c>
      <c r="O41" s="9">
        <f t="shared" si="22"/>
        <v>0.54166666666666663</v>
      </c>
      <c r="P41" s="9">
        <f t="shared" si="22"/>
        <v>0.54166666666666663</v>
      </c>
      <c r="Q41" s="9">
        <f t="shared" si="22"/>
        <v>0.54166666666666663</v>
      </c>
    </row>
    <row r="42" spans="3:25" x14ac:dyDescent="0.3">
      <c r="C42" s="12" t="s">
        <v>22</v>
      </c>
      <c r="E42" s="9">
        <f>IF(E35=0,"",E37/E35)</f>
        <v>0</v>
      </c>
      <c r="F42" s="9">
        <f t="shared" ref="F42:Q42" si="23">IF(F35=0,"",F37/F35)</f>
        <v>0</v>
      </c>
      <c r="G42" s="9">
        <f t="shared" si="23"/>
        <v>0</v>
      </c>
      <c r="H42" s="9">
        <f t="shared" si="23"/>
        <v>0</v>
      </c>
      <c r="I42" s="9">
        <f t="shared" si="23"/>
        <v>0</v>
      </c>
      <c r="J42" s="9" t="str">
        <f t="shared" si="23"/>
        <v/>
      </c>
      <c r="K42" s="9">
        <f t="shared" si="23"/>
        <v>0</v>
      </c>
      <c r="L42" s="9">
        <f t="shared" si="23"/>
        <v>0</v>
      </c>
      <c r="M42" s="9">
        <f t="shared" si="23"/>
        <v>0</v>
      </c>
      <c r="N42" s="9">
        <f t="shared" si="23"/>
        <v>0</v>
      </c>
      <c r="O42" s="9">
        <f t="shared" si="23"/>
        <v>0</v>
      </c>
      <c r="P42" s="9">
        <f t="shared" si="23"/>
        <v>0</v>
      </c>
      <c r="Q42" s="9">
        <f t="shared" si="23"/>
        <v>0</v>
      </c>
    </row>
    <row r="43" spans="3:25" x14ac:dyDescent="0.3">
      <c r="C43" s="12" t="s">
        <v>23</v>
      </c>
      <c r="E43" s="9">
        <f>IF(E35=0,"",E38/E35)</f>
        <v>0.08</v>
      </c>
      <c r="F43" s="9">
        <f t="shared" ref="F43:Q43" si="24">IF(F35=0,"",F38/F35)</f>
        <v>0.16</v>
      </c>
      <c r="G43" s="9">
        <f t="shared" si="24"/>
        <v>8.3333333333333329E-2</v>
      </c>
      <c r="H43" s="9">
        <f t="shared" si="24"/>
        <v>0.41666666666666669</v>
      </c>
      <c r="I43" s="9">
        <f t="shared" si="24"/>
        <v>0.375</v>
      </c>
      <c r="J43" s="9" t="str">
        <f t="shared" si="24"/>
        <v/>
      </c>
      <c r="K43" s="9">
        <f t="shared" si="24"/>
        <v>0.375</v>
      </c>
      <c r="L43" s="9">
        <f t="shared" si="24"/>
        <v>0.54166666666666663</v>
      </c>
      <c r="M43" s="9">
        <f t="shared" si="24"/>
        <v>0.45833333333333331</v>
      </c>
      <c r="N43" s="9">
        <f t="shared" si="24"/>
        <v>0.33333333333333331</v>
      </c>
      <c r="O43" s="9">
        <f t="shared" si="24"/>
        <v>0.45833333333333331</v>
      </c>
      <c r="P43" s="9">
        <f t="shared" si="24"/>
        <v>0.45833333333333331</v>
      </c>
      <c r="Q43" s="9">
        <f t="shared" si="24"/>
        <v>0.45833333333333331</v>
      </c>
    </row>
    <row r="44" spans="3:25" x14ac:dyDescent="0.3">
      <c r="C44" s="12" t="s">
        <v>21</v>
      </c>
      <c r="E44" s="9">
        <f>IF(E35=0,"",E39/E35)</f>
        <v>0</v>
      </c>
      <c r="F44" s="9">
        <f t="shared" ref="F44:Q44" si="25">IF(F35=0,"",F39/F35)</f>
        <v>0</v>
      </c>
      <c r="G44" s="9">
        <f t="shared" si="25"/>
        <v>0</v>
      </c>
      <c r="H44" s="9">
        <f t="shared" si="25"/>
        <v>0</v>
      </c>
      <c r="I44" s="9">
        <f t="shared" si="25"/>
        <v>0</v>
      </c>
      <c r="J44" s="9" t="str">
        <f t="shared" si="25"/>
        <v/>
      </c>
      <c r="K44" s="9">
        <f t="shared" si="25"/>
        <v>0</v>
      </c>
      <c r="L44" s="9">
        <f t="shared" si="25"/>
        <v>0</v>
      </c>
      <c r="M44" s="9">
        <f t="shared" si="25"/>
        <v>0</v>
      </c>
      <c r="N44" s="9">
        <f t="shared" si="25"/>
        <v>0</v>
      </c>
      <c r="O44" s="9">
        <f t="shared" si="25"/>
        <v>0</v>
      </c>
      <c r="P44" s="9">
        <f t="shared" si="25"/>
        <v>0</v>
      </c>
      <c r="Q44" s="9">
        <f t="shared" si="25"/>
        <v>0</v>
      </c>
    </row>
    <row r="45" spans="3:25" x14ac:dyDescent="0.3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3:25" x14ac:dyDescent="0.3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3:25" x14ac:dyDescent="0.3">
      <c r="C47" s="5" t="s">
        <v>46</v>
      </c>
      <c r="E47" s="8">
        <f>IF(E35=0,"",E36/(E35-E39))</f>
        <v>0.92</v>
      </c>
      <c r="F47" s="8">
        <f t="shared" ref="F47:Q47" si="26">IF(F35=0,"",F36/(F35-F39))</f>
        <v>0.84</v>
      </c>
      <c r="G47" s="8">
        <f t="shared" si="26"/>
        <v>0.91666666666666663</v>
      </c>
      <c r="H47" s="8">
        <f t="shared" si="26"/>
        <v>0.58333333333333337</v>
      </c>
      <c r="I47" s="8">
        <f t="shared" si="26"/>
        <v>0.625</v>
      </c>
      <c r="J47" s="8" t="str">
        <f t="shared" si="26"/>
        <v/>
      </c>
      <c r="K47" s="8">
        <f t="shared" si="26"/>
        <v>0.625</v>
      </c>
      <c r="L47" s="8">
        <f t="shared" si="26"/>
        <v>0.45833333333333331</v>
      </c>
      <c r="M47" s="8">
        <f t="shared" si="26"/>
        <v>0.54166666666666663</v>
      </c>
      <c r="N47" s="8">
        <f t="shared" si="26"/>
        <v>0.66666666666666663</v>
      </c>
      <c r="O47" s="8">
        <f t="shared" si="26"/>
        <v>0.54166666666666663</v>
      </c>
      <c r="P47" s="8">
        <f t="shared" si="26"/>
        <v>0.54166666666666663</v>
      </c>
      <c r="Q47" s="8">
        <f t="shared" si="26"/>
        <v>0.54166666666666663</v>
      </c>
    </row>
    <row r="48" spans="3:25" x14ac:dyDescent="0.3">
      <c r="C48" s="5" t="s">
        <v>83</v>
      </c>
      <c r="E48" s="8">
        <f>IF(E35=0,"",(E38+E37)/(E35-E39))</f>
        <v>0.08</v>
      </c>
      <c r="F48" s="8">
        <f t="shared" ref="F48:Q48" si="27">IF(F35=0,"",(F38+F37)/(F35-F39))</f>
        <v>0.16</v>
      </c>
      <c r="G48" s="8">
        <f t="shared" si="27"/>
        <v>8.3333333333333329E-2</v>
      </c>
      <c r="H48" s="8">
        <f t="shared" si="27"/>
        <v>0.41666666666666669</v>
      </c>
      <c r="I48" s="8">
        <f t="shared" si="27"/>
        <v>0.375</v>
      </c>
      <c r="J48" s="8" t="str">
        <f t="shared" si="27"/>
        <v/>
      </c>
      <c r="K48" s="8">
        <f t="shared" si="27"/>
        <v>0.375</v>
      </c>
      <c r="L48" s="8">
        <f t="shared" si="27"/>
        <v>0.54166666666666663</v>
      </c>
      <c r="M48" s="8">
        <f t="shared" si="27"/>
        <v>0.45833333333333331</v>
      </c>
      <c r="N48" s="8">
        <f t="shared" si="27"/>
        <v>0.33333333333333331</v>
      </c>
      <c r="O48" s="8">
        <f t="shared" si="27"/>
        <v>0.45833333333333331</v>
      </c>
      <c r="P48" s="8">
        <f t="shared" si="27"/>
        <v>0.45833333333333331</v>
      </c>
      <c r="Q48" s="8">
        <f t="shared" si="27"/>
        <v>0.45833333333333331</v>
      </c>
    </row>
    <row r="50" spans="3:4" x14ac:dyDescent="0.3">
      <c r="C50" t="s">
        <v>30</v>
      </c>
      <c r="D50" s="10">
        <f>COUNTIF(D1:D32,"App∴ ")</f>
        <v>0</v>
      </c>
    </row>
    <row r="51" spans="3:4" x14ac:dyDescent="0.3">
      <c r="C51" t="s">
        <v>31</v>
      </c>
      <c r="D51" s="10">
        <f>COUNTIF(D1:D33,"Comp∴ ")</f>
        <v>0</v>
      </c>
    </row>
    <row r="52" spans="3:4" x14ac:dyDescent="0.3">
      <c r="C52" t="s">
        <v>32</v>
      </c>
      <c r="D52" s="10">
        <f>COUNTIF(D2:D34,"M∴ ")</f>
        <v>25</v>
      </c>
    </row>
  </sheetData>
  <dataValidations count="2">
    <dataValidation type="list" allowBlank="1" showInputMessage="1" showErrorMessage="1" sqref="E3:Q3 D4:D35" xr:uid="{62032A98-C52E-4032-A9E9-DCD70A18DDAA}">
      <formula1>"App∴ ,Comp∴ ,M∴ "</formula1>
    </dataValidation>
    <dataValidation type="list" allowBlank="1" showInputMessage="1" showErrorMessage="1" sqref="E4:Q33" xr:uid="{9533B7A6-258B-47D9-BBF6-7DE4E50CBF4E}">
      <formula1>"P,E,A,Disp"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7"/>
  <sheetViews>
    <sheetView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S28" sqref="S28"/>
    </sheetView>
  </sheetViews>
  <sheetFormatPr baseColWidth="10" defaultColWidth="11" defaultRowHeight="15.6" x14ac:dyDescent="0.3"/>
  <cols>
    <col min="1" max="1" width="8.69921875" bestFit="1" customWidth="1"/>
    <col min="2" max="2" width="5.19921875" customWidth="1"/>
    <col min="3" max="3" width="30.09765625" bestFit="1" customWidth="1"/>
    <col min="4" max="4" width="7.5" style="10" bestFit="1" customWidth="1"/>
    <col min="5" max="6" width="7.59765625" bestFit="1" customWidth="1"/>
    <col min="7" max="7" width="8.5" bestFit="1" customWidth="1"/>
    <col min="8" max="12" width="7.59765625" bestFit="1" customWidth="1"/>
    <col min="13" max="13" width="9" customWidth="1"/>
    <col min="14" max="24" width="8.3984375" bestFit="1" customWidth="1"/>
    <col min="25" max="25" width="4.3984375" customWidth="1"/>
    <col min="26" max="26" width="9.5" bestFit="1" customWidth="1"/>
    <col min="27" max="27" width="10.296875" bestFit="1" customWidth="1"/>
    <col min="28" max="28" width="9.09765625" bestFit="1" customWidth="1"/>
    <col min="29" max="29" width="7.8984375" bestFit="1" customWidth="1"/>
    <col min="30" max="30" width="9.69921875" bestFit="1" customWidth="1"/>
    <col min="31" max="31" width="9.3984375" bestFit="1" customWidth="1"/>
    <col min="32" max="32" width="9.09765625" style="10" bestFit="1" customWidth="1"/>
    <col min="35" max="35" width="7.3984375" bestFit="1" customWidth="1"/>
  </cols>
  <sheetData>
    <row r="1" spans="1:35" ht="54" thickBot="1" x14ac:dyDescent="0.9">
      <c r="E1" s="41">
        <v>45176</v>
      </c>
      <c r="F1" s="42">
        <v>45189</v>
      </c>
      <c r="G1" s="41">
        <v>45204</v>
      </c>
      <c r="H1" s="42">
        <v>45217</v>
      </c>
      <c r="I1" s="41">
        <v>45232</v>
      </c>
      <c r="J1" s="42">
        <v>45245</v>
      </c>
      <c r="K1" s="41">
        <v>45267</v>
      </c>
      <c r="L1" s="42">
        <v>45280</v>
      </c>
      <c r="M1" s="41">
        <v>45295</v>
      </c>
      <c r="N1" s="42">
        <v>45308</v>
      </c>
      <c r="O1" s="41">
        <v>45323</v>
      </c>
      <c r="P1" s="42">
        <v>45343</v>
      </c>
      <c r="Q1" s="41">
        <v>45358</v>
      </c>
      <c r="R1" s="42">
        <v>45371</v>
      </c>
      <c r="S1" s="41">
        <v>45386</v>
      </c>
      <c r="T1" s="42">
        <v>45399</v>
      </c>
      <c r="U1" s="41">
        <v>45414</v>
      </c>
      <c r="V1" s="43">
        <v>45427</v>
      </c>
      <c r="W1" s="41">
        <v>45449</v>
      </c>
      <c r="X1" s="42">
        <v>45462</v>
      </c>
      <c r="Z1" t="s">
        <v>24</v>
      </c>
      <c r="AA1" s="3">
        <f>COUNTIF(E2:X2,"X")</f>
        <v>20</v>
      </c>
      <c r="AF1" s="10" t="s">
        <v>84</v>
      </c>
    </row>
    <row r="2" spans="1:35" ht="18" x14ac:dyDescent="0.3">
      <c r="A2" t="s">
        <v>34</v>
      </c>
      <c r="B2" t="s">
        <v>10</v>
      </c>
      <c r="C2" s="2" t="s">
        <v>5</v>
      </c>
      <c r="D2" s="10" t="s">
        <v>29</v>
      </c>
      <c r="E2" s="20" t="s">
        <v>41</v>
      </c>
      <c r="F2" s="20" t="s">
        <v>41</v>
      </c>
      <c r="G2" s="20" t="s">
        <v>41</v>
      </c>
      <c r="H2" s="20" t="s">
        <v>41</v>
      </c>
      <c r="I2" s="20" t="s">
        <v>41</v>
      </c>
      <c r="J2" s="20" t="s">
        <v>41</v>
      </c>
      <c r="K2" s="20" t="s">
        <v>41</v>
      </c>
      <c r="L2" s="20" t="s">
        <v>41</v>
      </c>
      <c r="M2" s="20" t="s">
        <v>41</v>
      </c>
      <c r="N2" s="20" t="s">
        <v>41</v>
      </c>
      <c r="O2" s="20" t="s">
        <v>41</v>
      </c>
      <c r="P2" s="20" t="s">
        <v>41</v>
      </c>
      <c r="Q2" s="20" t="s">
        <v>41</v>
      </c>
      <c r="R2" s="20" t="s">
        <v>41</v>
      </c>
      <c r="S2" s="20" t="s">
        <v>41</v>
      </c>
      <c r="T2" s="20" t="s">
        <v>41</v>
      </c>
      <c r="U2" s="20" t="s">
        <v>41</v>
      </c>
      <c r="V2" s="20" t="s">
        <v>41</v>
      </c>
      <c r="W2" s="20" t="s">
        <v>41</v>
      </c>
      <c r="X2" s="20" t="s">
        <v>41</v>
      </c>
      <c r="Z2" s="10"/>
      <c r="AA2" t="s">
        <v>25</v>
      </c>
      <c r="AB2" t="s">
        <v>26</v>
      </c>
      <c r="AC2" t="s">
        <v>27</v>
      </c>
      <c r="AD2" t="s">
        <v>28</v>
      </c>
      <c r="AE2" t="s">
        <v>33</v>
      </c>
      <c r="AI2" t="s">
        <v>6</v>
      </c>
    </row>
    <row r="3" spans="1:35" ht="16.2" thickBot="1" x14ac:dyDescent="0.35">
      <c r="C3" s="2" t="s">
        <v>11</v>
      </c>
      <c r="E3" t="s">
        <v>12</v>
      </c>
      <c r="F3" t="s">
        <v>12</v>
      </c>
      <c r="G3" t="s">
        <v>12</v>
      </c>
      <c r="H3" t="s">
        <v>12</v>
      </c>
      <c r="I3" s="10" t="s">
        <v>12</v>
      </c>
      <c r="J3" s="10" t="s">
        <v>12</v>
      </c>
      <c r="K3" s="10" t="s">
        <v>12</v>
      </c>
      <c r="L3" s="10" t="s">
        <v>12</v>
      </c>
      <c r="M3" s="10" t="s">
        <v>12</v>
      </c>
      <c r="N3" s="10" t="s">
        <v>12</v>
      </c>
      <c r="O3" s="10" t="s">
        <v>12</v>
      </c>
      <c r="P3" s="10" t="s">
        <v>12</v>
      </c>
      <c r="Q3" s="10" t="s">
        <v>12</v>
      </c>
      <c r="R3" s="10" t="s">
        <v>12</v>
      </c>
      <c r="S3" s="10" t="s">
        <v>13</v>
      </c>
      <c r="T3" s="10" t="s">
        <v>12</v>
      </c>
      <c r="U3" s="10" t="s">
        <v>12</v>
      </c>
      <c r="V3" s="10" t="s">
        <v>12</v>
      </c>
      <c r="W3" s="10" t="s">
        <v>12</v>
      </c>
      <c r="X3" s="10" t="s">
        <v>12</v>
      </c>
    </row>
    <row r="4" spans="1:35" x14ac:dyDescent="0.3">
      <c r="C4" s="17" t="s">
        <v>48</v>
      </c>
      <c r="D4" s="10" t="s">
        <v>13</v>
      </c>
      <c r="E4" s="21" t="s">
        <v>39</v>
      </c>
      <c r="F4" s="22" t="s">
        <v>74</v>
      </c>
      <c r="G4" s="21" t="s">
        <v>74</v>
      </c>
      <c r="H4" s="22" t="s">
        <v>74</v>
      </c>
      <c r="I4" s="21" t="s">
        <v>40</v>
      </c>
      <c r="J4" s="22" t="s">
        <v>74</v>
      </c>
      <c r="K4" s="21" t="s">
        <v>74</v>
      </c>
      <c r="L4" s="22" t="s">
        <v>39</v>
      </c>
      <c r="M4" s="21" t="s">
        <v>74</v>
      </c>
      <c r="N4" s="22" t="s">
        <v>40</v>
      </c>
      <c r="O4" s="21" t="s">
        <v>40</v>
      </c>
      <c r="P4" s="22" t="s">
        <v>74</v>
      </c>
      <c r="Q4" s="21" t="s">
        <v>74</v>
      </c>
      <c r="R4" s="22" t="s">
        <v>74</v>
      </c>
      <c r="S4" s="21" t="s">
        <v>74</v>
      </c>
      <c r="T4" s="22" t="s">
        <v>74</v>
      </c>
      <c r="U4" s="21" t="s">
        <v>74</v>
      </c>
      <c r="V4" s="22" t="s">
        <v>74</v>
      </c>
      <c r="W4" s="21" t="s">
        <v>74</v>
      </c>
      <c r="X4" s="22" t="s">
        <v>40</v>
      </c>
      <c r="Z4" s="6">
        <f t="shared" ref="Z4:Z33" si="0">COUNTA(E4:X4)</f>
        <v>20</v>
      </c>
      <c r="AA4" s="26">
        <f t="shared" ref="AA4:AA33" si="1">COUNTIF($E4:$X4,"P")/Z4</f>
        <v>0.1</v>
      </c>
      <c r="AB4" s="9">
        <f t="shared" ref="AB4:AB33" si="2">COUNTIF($E4:$X4,"A")/Z4</f>
        <v>0.7</v>
      </c>
      <c r="AC4" s="9">
        <f t="shared" ref="AC4:AC33" si="3">COUNTIF($E4:$X4,"E")/Z4</f>
        <v>0.2</v>
      </c>
      <c r="AD4" s="9">
        <f t="shared" ref="AD4:AD33" si="4">IF(B4&lt;&gt;"OUI",COUNTIF($E4:$X4,"Disp")/Z4,1)</f>
        <v>0</v>
      </c>
      <c r="AE4" s="13">
        <f>AB4+AC4</f>
        <v>0.89999999999999991</v>
      </c>
      <c r="AF4" s="13"/>
      <c r="AI4" t="s">
        <v>7</v>
      </c>
    </row>
    <row r="5" spans="1:35" x14ac:dyDescent="0.3">
      <c r="A5" s="4" t="s">
        <v>38</v>
      </c>
      <c r="C5" s="18" t="s">
        <v>0</v>
      </c>
      <c r="D5" s="10" t="s">
        <v>13</v>
      </c>
      <c r="E5" s="23" t="s">
        <v>39</v>
      </c>
      <c r="F5" s="24" t="s">
        <v>39</v>
      </c>
      <c r="G5" s="23" t="s">
        <v>39</v>
      </c>
      <c r="H5" s="24" t="s">
        <v>39</v>
      </c>
      <c r="I5" s="23" t="s">
        <v>39</v>
      </c>
      <c r="J5" s="24" t="s">
        <v>39</v>
      </c>
      <c r="K5" s="23" t="s">
        <v>39</v>
      </c>
      <c r="L5" s="24" t="s">
        <v>39</v>
      </c>
      <c r="M5" s="23" t="s">
        <v>39</v>
      </c>
      <c r="N5" s="24" t="s">
        <v>39</v>
      </c>
      <c r="O5" s="23" t="s">
        <v>39</v>
      </c>
      <c r="P5" s="24" t="s">
        <v>39</v>
      </c>
      <c r="Q5" s="23" t="s">
        <v>40</v>
      </c>
      <c r="R5" s="24" t="s">
        <v>39</v>
      </c>
      <c r="S5" s="23" t="s">
        <v>39</v>
      </c>
      <c r="T5" s="24" t="s">
        <v>39</v>
      </c>
      <c r="U5" s="23" t="s">
        <v>39</v>
      </c>
      <c r="V5" s="24" t="s">
        <v>39</v>
      </c>
      <c r="W5" s="23" t="s">
        <v>39</v>
      </c>
      <c r="X5" s="24" t="s">
        <v>39</v>
      </c>
      <c r="Z5" s="6">
        <f t="shared" si="0"/>
        <v>20</v>
      </c>
      <c r="AA5" s="26">
        <f t="shared" si="1"/>
        <v>0.95</v>
      </c>
      <c r="AB5" s="9">
        <f t="shared" si="2"/>
        <v>0</v>
      </c>
      <c r="AC5" s="9">
        <f t="shared" si="3"/>
        <v>0.05</v>
      </c>
      <c r="AD5" s="9">
        <f t="shared" si="4"/>
        <v>0</v>
      </c>
      <c r="AE5" s="13">
        <f t="shared" ref="AE5:AE33" si="5">AB5+AC5</f>
        <v>0.05</v>
      </c>
      <c r="AF5" s="13">
        <f t="shared" ref="AF5:AF33" si="6">AE5</f>
        <v>0.05</v>
      </c>
      <c r="AI5" t="s">
        <v>8</v>
      </c>
    </row>
    <row r="6" spans="1:35" x14ac:dyDescent="0.3">
      <c r="C6" s="18" t="s">
        <v>49</v>
      </c>
      <c r="D6" s="10" t="s">
        <v>13</v>
      </c>
      <c r="E6" s="23" t="s">
        <v>40</v>
      </c>
      <c r="F6" s="24" t="s">
        <v>39</v>
      </c>
      <c r="G6" s="23" t="s">
        <v>40</v>
      </c>
      <c r="H6" s="24" t="s">
        <v>40</v>
      </c>
      <c r="I6" s="23" t="s">
        <v>40</v>
      </c>
      <c r="J6" s="24" t="s">
        <v>39</v>
      </c>
      <c r="K6" s="23" t="s">
        <v>40</v>
      </c>
      <c r="L6" s="24" t="s">
        <v>39</v>
      </c>
      <c r="M6" s="23" t="s">
        <v>40</v>
      </c>
      <c r="N6" s="24" t="s">
        <v>40</v>
      </c>
      <c r="O6" s="23" t="s">
        <v>40</v>
      </c>
      <c r="P6" s="24" t="s">
        <v>74</v>
      </c>
      <c r="Q6" s="23" t="s">
        <v>40</v>
      </c>
      <c r="R6" s="24" t="s">
        <v>40</v>
      </c>
      <c r="S6" s="23" t="s">
        <v>74</v>
      </c>
      <c r="T6" s="24" t="s">
        <v>74</v>
      </c>
      <c r="U6" s="23" t="s">
        <v>40</v>
      </c>
      <c r="V6" s="24" t="s">
        <v>40</v>
      </c>
      <c r="W6" s="23" t="s">
        <v>40</v>
      </c>
      <c r="X6" s="24" t="s">
        <v>40</v>
      </c>
      <c r="Z6" s="6">
        <f t="shared" si="0"/>
        <v>20</v>
      </c>
      <c r="AA6" s="26">
        <f t="shared" si="1"/>
        <v>0.15</v>
      </c>
      <c r="AB6" s="9">
        <f t="shared" si="2"/>
        <v>0.15</v>
      </c>
      <c r="AC6" s="9">
        <f t="shared" si="3"/>
        <v>0.7</v>
      </c>
      <c r="AD6" s="9">
        <f t="shared" si="4"/>
        <v>0</v>
      </c>
      <c r="AE6" s="13">
        <f t="shared" si="5"/>
        <v>0.85</v>
      </c>
      <c r="AF6" s="13"/>
      <c r="AI6" t="s">
        <v>9</v>
      </c>
    </row>
    <row r="7" spans="1:35" x14ac:dyDescent="0.3">
      <c r="C7" s="18" t="s">
        <v>50</v>
      </c>
      <c r="D7" s="10" t="s">
        <v>13</v>
      </c>
      <c r="E7" s="23" t="s">
        <v>40</v>
      </c>
      <c r="F7" s="24" t="s">
        <v>39</v>
      </c>
      <c r="G7" s="23" t="s">
        <v>39</v>
      </c>
      <c r="H7" s="24" t="s">
        <v>39</v>
      </c>
      <c r="I7" s="23" t="s">
        <v>39</v>
      </c>
      <c r="J7" s="24" t="s">
        <v>39</v>
      </c>
      <c r="K7" s="23" t="s">
        <v>39</v>
      </c>
      <c r="L7" s="24" t="s">
        <v>39</v>
      </c>
      <c r="M7" s="23" t="s">
        <v>39</v>
      </c>
      <c r="N7" s="24" t="s">
        <v>39</v>
      </c>
      <c r="O7" s="23" t="s">
        <v>40</v>
      </c>
      <c r="P7" s="24" t="s">
        <v>39</v>
      </c>
      <c r="Q7" s="23" t="s">
        <v>39</v>
      </c>
      <c r="R7" s="24" t="s">
        <v>39</v>
      </c>
      <c r="S7" s="23" t="s">
        <v>39</v>
      </c>
      <c r="T7" s="24" t="s">
        <v>39</v>
      </c>
      <c r="U7" s="23" t="s">
        <v>39</v>
      </c>
      <c r="V7" s="24" t="s">
        <v>39</v>
      </c>
      <c r="W7" s="23" t="s">
        <v>39</v>
      </c>
      <c r="X7" s="24" t="s">
        <v>39</v>
      </c>
      <c r="Z7" s="6">
        <f t="shared" si="0"/>
        <v>20</v>
      </c>
      <c r="AA7" s="26">
        <f t="shared" si="1"/>
        <v>0.9</v>
      </c>
      <c r="AB7" s="9">
        <f t="shared" si="2"/>
        <v>0</v>
      </c>
      <c r="AC7" s="9">
        <f t="shared" si="3"/>
        <v>0.1</v>
      </c>
      <c r="AD7" s="9">
        <f t="shared" si="4"/>
        <v>0</v>
      </c>
      <c r="AE7" s="13">
        <f t="shared" si="5"/>
        <v>0.1</v>
      </c>
      <c r="AF7" s="13"/>
    </row>
    <row r="8" spans="1:35" x14ac:dyDescent="0.3">
      <c r="C8" s="18" t="s">
        <v>51</v>
      </c>
      <c r="D8" s="10" t="s">
        <v>13</v>
      </c>
      <c r="E8" s="23" t="s">
        <v>40</v>
      </c>
      <c r="F8" s="24" t="s">
        <v>40</v>
      </c>
      <c r="G8" s="23" t="s">
        <v>40</v>
      </c>
      <c r="H8" s="24" t="s">
        <v>40</v>
      </c>
      <c r="I8" s="23" t="s">
        <v>74</v>
      </c>
      <c r="J8" s="24" t="s">
        <v>40</v>
      </c>
      <c r="K8" s="23" t="s">
        <v>40</v>
      </c>
      <c r="L8" s="24" t="s">
        <v>40</v>
      </c>
      <c r="M8" s="23" t="s">
        <v>74</v>
      </c>
      <c r="N8" s="24" t="s">
        <v>40</v>
      </c>
      <c r="O8" s="23" t="s">
        <v>74</v>
      </c>
      <c r="P8" s="24" t="s">
        <v>74</v>
      </c>
      <c r="Q8" s="23" t="s">
        <v>74</v>
      </c>
      <c r="R8" s="24" t="s">
        <v>74</v>
      </c>
      <c r="S8" s="23" t="s">
        <v>74</v>
      </c>
      <c r="T8" s="24" t="s">
        <v>74</v>
      </c>
      <c r="U8" s="23" t="s">
        <v>74</v>
      </c>
      <c r="V8" s="24" t="s">
        <v>40</v>
      </c>
      <c r="W8" s="23" t="s">
        <v>40</v>
      </c>
      <c r="X8" s="24" t="s">
        <v>39</v>
      </c>
      <c r="Z8" s="6">
        <f t="shared" si="0"/>
        <v>20</v>
      </c>
      <c r="AA8" s="26">
        <f t="shared" si="1"/>
        <v>0.05</v>
      </c>
      <c r="AB8" s="9">
        <f t="shared" si="2"/>
        <v>0.45</v>
      </c>
      <c r="AC8" s="9">
        <f t="shared" si="3"/>
        <v>0.5</v>
      </c>
      <c r="AD8" s="9">
        <f t="shared" si="4"/>
        <v>0</v>
      </c>
      <c r="AE8" s="13">
        <f t="shared" si="5"/>
        <v>0.95</v>
      </c>
      <c r="AF8" s="13"/>
    </row>
    <row r="9" spans="1:35" x14ac:dyDescent="0.3">
      <c r="C9" s="18" t="s">
        <v>79</v>
      </c>
      <c r="D9" s="10" t="s">
        <v>13</v>
      </c>
      <c r="E9" s="23" t="s">
        <v>40</v>
      </c>
      <c r="F9" s="24" t="s">
        <v>40</v>
      </c>
      <c r="G9" s="23" t="s">
        <v>40</v>
      </c>
      <c r="H9" s="24" t="s">
        <v>40</v>
      </c>
      <c r="I9" s="23" t="s">
        <v>40</v>
      </c>
      <c r="J9" s="24" t="s">
        <v>40</v>
      </c>
      <c r="K9" s="23" t="s">
        <v>40</v>
      </c>
      <c r="L9" s="24" t="s">
        <v>40</v>
      </c>
      <c r="M9" s="33"/>
      <c r="N9" s="32"/>
      <c r="O9" s="33"/>
      <c r="P9" s="32"/>
      <c r="Q9" s="33"/>
      <c r="R9" s="32"/>
      <c r="S9" s="33"/>
      <c r="T9" s="32"/>
      <c r="U9" s="33"/>
      <c r="V9" s="32"/>
      <c r="W9" s="33"/>
      <c r="X9" s="32"/>
      <c r="Z9" s="6">
        <f t="shared" si="0"/>
        <v>8</v>
      </c>
      <c r="AA9" s="26">
        <f t="shared" si="1"/>
        <v>0</v>
      </c>
      <c r="AB9" s="9">
        <f t="shared" si="2"/>
        <v>0</v>
      </c>
      <c r="AC9" s="9">
        <f t="shared" si="3"/>
        <v>1</v>
      </c>
      <c r="AD9" s="9">
        <f t="shared" si="4"/>
        <v>0</v>
      </c>
      <c r="AE9" s="13">
        <f t="shared" ref="AE9" si="7">AB9+AC9</f>
        <v>1</v>
      </c>
      <c r="AF9" s="13"/>
    </row>
    <row r="10" spans="1:35" x14ac:dyDescent="0.3">
      <c r="C10" s="18" t="s">
        <v>52</v>
      </c>
      <c r="D10" s="10" t="s">
        <v>13</v>
      </c>
      <c r="E10" s="23" t="s">
        <v>39</v>
      </c>
      <c r="F10" s="24" t="s">
        <v>39</v>
      </c>
      <c r="G10" s="23" t="s">
        <v>39</v>
      </c>
      <c r="H10" s="24" t="s">
        <v>39</v>
      </c>
      <c r="I10" s="23" t="s">
        <v>39</v>
      </c>
      <c r="J10" s="24" t="s">
        <v>40</v>
      </c>
      <c r="K10" s="23" t="s">
        <v>40</v>
      </c>
      <c r="L10" s="24" t="s">
        <v>39</v>
      </c>
      <c r="M10" s="23" t="s">
        <v>39</v>
      </c>
      <c r="N10" s="24" t="s">
        <v>39</v>
      </c>
      <c r="O10" s="23" t="s">
        <v>39</v>
      </c>
      <c r="P10" s="24" t="s">
        <v>40</v>
      </c>
      <c r="Q10" s="23" t="s">
        <v>39</v>
      </c>
      <c r="R10" s="24" t="s">
        <v>39</v>
      </c>
      <c r="S10" s="23" t="s">
        <v>39</v>
      </c>
      <c r="T10" s="24" t="s">
        <v>39</v>
      </c>
      <c r="U10" s="23" t="s">
        <v>39</v>
      </c>
      <c r="V10" s="24" t="s">
        <v>39</v>
      </c>
      <c r="W10" s="23" t="s">
        <v>39</v>
      </c>
      <c r="X10" s="24" t="s">
        <v>39</v>
      </c>
      <c r="Z10" s="6">
        <f t="shared" si="0"/>
        <v>20</v>
      </c>
      <c r="AA10" s="26">
        <f t="shared" si="1"/>
        <v>0.85</v>
      </c>
      <c r="AB10" s="9">
        <f t="shared" si="2"/>
        <v>0</v>
      </c>
      <c r="AC10" s="9">
        <f t="shared" si="3"/>
        <v>0.15</v>
      </c>
      <c r="AD10" s="9">
        <f t="shared" si="4"/>
        <v>0</v>
      </c>
      <c r="AE10" s="13">
        <f t="shared" si="5"/>
        <v>0.15</v>
      </c>
      <c r="AF10" s="13"/>
    </row>
    <row r="11" spans="1:35" x14ac:dyDescent="0.3">
      <c r="A11" s="4" t="s">
        <v>73</v>
      </c>
      <c r="C11" s="18" t="s">
        <v>53</v>
      </c>
      <c r="D11" s="10" t="s">
        <v>13</v>
      </c>
      <c r="E11" s="23" t="s">
        <v>39</v>
      </c>
      <c r="F11" s="24" t="s">
        <v>39</v>
      </c>
      <c r="G11" s="23" t="s">
        <v>40</v>
      </c>
      <c r="H11" s="24" t="s">
        <v>39</v>
      </c>
      <c r="I11" s="23" t="s">
        <v>40</v>
      </c>
      <c r="J11" s="24" t="s">
        <v>40</v>
      </c>
      <c r="K11" s="23" t="s">
        <v>40</v>
      </c>
      <c r="L11" s="24" t="s">
        <v>39</v>
      </c>
      <c r="M11" s="23" t="s">
        <v>40</v>
      </c>
      <c r="N11" s="24" t="s">
        <v>39</v>
      </c>
      <c r="O11" s="23" t="s">
        <v>39</v>
      </c>
      <c r="P11" s="24" t="s">
        <v>39</v>
      </c>
      <c r="Q11" s="23" t="s">
        <v>40</v>
      </c>
      <c r="R11" s="24" t="s">
        <v>39</v>
      </c>
      <c r="S11" s="23" t="s">
        <v>39</v>
      </c>
      <c r="T11" s="24" t="s">
        <v>39</v>
      </c>
      <c r="U11" s="23" t="s">
        <v>40</v>
      </c>
      <c r="V11" s="24" t="s">
        <v>40</v>
      </c>
      <c r="W11" s="23" t="s">
        <v>39</v>
      </c>
      <c r="X11" s="24" t="s">
        <v>39</v>
      </c>
      <c r="Z11" s="6">
        <f t="shared" si="0"/>
        <v>20</v>
      </c>
      <c r="AA11" s="26">
        <f t="shared" si="1"/>
        <v>0.6</v>
      </c>
      <c r="AB11" s="9">
        <f t="shared" si="2"/>
        <v>0</v>
      </c>
      <c r="AC11" s="9">
        <f t="shared" si="3"/>
        <v>0.4</v>
      </c>
      <c r="AD11" s="9">
        <f t="shared" si="4"/>
        <v>0</v>
      </c>
      <c r="AE11" s="13">
        <f t="shared" si="5"/>
        <v>0.4</v>
      </c>
      <c r="AF11" s="13">
        <f t="shared" si="6"/>
        <v>0.4</v>
      </c>
    </row>
    <row r="12" spans="1:35" x14ac:dyDescent="0.3">
      <c r="A12" s="4" t="s">
        <v>36</v>
      </c>
      <c r="C12" s="18" t="s">
        <v>54</v>
      </c>
      <c r="D12" s="10" t="s">
        <v>13</v>
      </c>
      <c r="E12" s="23" t="s">
        <v>40</v>
      </c>
      <c r="F12" s="24" t="s">
        <v>40</v>
      </c>
      <c r="G12" s="23" t="s">
        <v>39</v>
      </c>
      <c r="H12" s="24" t="s">
        <v>39</v>
      </c>
      <c r="I12" s="23" t="s">
        <v>40</v>
      </c>
      <c r="J12" s="24" t="s">
        <v>39</v>
      </c>
      <c r="K12" s="23" t="s">
        <v>40</v>
      </c>
      <c r="L12" s="24" t="s">
        <v>39</v>
      </c>
      <c r="M12" s="23" t="s">
        <v>40</v>
      </c>
      <c r="N12" s="24" t="s">
        <v>40</v>
      </c>
      <c r="O12" s="23" t="s">
        <v>40</v>
      </c>
      <c r="P12" s="24" t="s">
        <v>40</v>
      </c>
      <c r="Q12" s="23" t="s">
        <v>40</v>
      </c>
      <c r="R12" s="24" t="s">
        <v>39</v>
      </c>
      <c r="S12" s="23" t="s">
        <v>39</v>
      </c>
      <c r="T12" s="24" t="s">
        <v>39</v>
      </c>
      <c r="U12" s="23" t="s">
        <v>40</v>
      </c>
      <c r="V12" s="24" t="s">
        <v>40</v>
      </c>
      <c r="W12" s="23" t="s">
        <v>39</v>
      </c>
      <c r="X12" s="24" t="s">
        <v>39</v>
      </c>
      <c r="Z12" s="6">
        <f t="shared" si="0"/>
        <v>20</v>
      </c>
      <c r="AA12" s="26">
        <f t="shared" si="1"/>
        <v>0.45</v>
      </c>
      <c r="AB12" s="9">
        <f t="shared" si="2"/>
        <v>0</v>
      </c>
      <c r="AC12" s="9">
        <f t="shared" si="3"/>
        <v>0.55000000000000004</v>
      </c>
      <c r="AD12" s="9">
        <f t="shared" si="4"/>
        <v>0</v>
      </c>
      <c r="AE12" s="13">
        <f t="shared" si="5"/>
        <v>0.55000000000000004</v>
      </c>
      <c r="AF12" s="13">
        <f t="shared" si="6"/>
        <v>0.55000000000000004</v>
      </c>
    </row>
    <row r="13" spans="1:35" x14ac:dyDescent="0.3">
      <c r="A13" s="4" t="s">
        <v>70</v>
      </c>
      <c r="C13" s="18" t="s">
        <v>1</v>
      </c>
      <c r="D13" s="10" t="s">
        <v>13</v>
      </c>
      <c r="E13" s="23" t="s">
        <v>39</v>
      </c>
      <c r="F13" s="24" t="s">
        <v>39</v>
      </c>
      <c r="G13" s="23" t="s">
        <v>39</v>
      </c>
      <c r="H13" s="24" t="s">
        <v>39</v>
      </c>
      <c r="I13" s="23" t="s">
        <v>39</v>
      </c>
      <c r="J13" s="24" t="s">
        <v>39</v>
      </c>
      <c r="K13" s="23" t="s">
        <v>39</v>
      </c>
      <c r="L13" s="24" t="s">
        <v>39</v>
      </c>
      <c r="M13" s="23" t="s">
        <v>39</v>
      </c>
      <c r="N13" s="24" t="s">
        <v>39</v>
      </c>
      <c r="O13" s="23" t="s">
        <v>39</v>
      </c>
      <c r="P13" s="24" t="s">
        <v>39</v>
      </c>
      <c r="Q13" s="23" t="s">
        <v>39</v>
      </c>
      <c r="R13" s="24" t="s">
        <v>40</v>
      </c>
      <c r="S13" s="23" t="s">
        <v>39</v>
      </c>
      <c r="T13" s="24" t="s">
        <v>39</v>
      </c>
      <c r="U13" s="23" t="s">
        <v>39</v>
      </c>
      <c r="V13" s="24" t="s">
        <v>39</v>
      </c>
      <c r="W13" s="23" t="s">
        <v>39</v>
      </c>
      <c r="X13" s="24" t="s">
        <v>39</v>
      </c>
      <c r="Z13" s="6">
        <f t="shared" si="0"/>
        <v>20</v>
      </c>
      <c r="AA13" s="26">
        <f t="shared" si="1"/>
        <v>0.95</v>
      </c>
      <c r="AB13" s="9">
        <f t="shared" si="2"/>
        <v>0</v>
      </c>
      <c r="AC13" s="9">
        <f t="shared" si="3"/>
        <v>0.05</v>
      </c>
      <c r="AD13" s="9">
        <f t="shared" si="4"/>
        <v>0</v>
      </c>
      <c r="AE13" s="13">
        <f t="shared" si="5"/>
        <v>0.05</v>
      </c>
      <c r="AF13" s="13">
        <f t="shared" si="6"/>
        <v>0.05</v>
      </c>
    </row>
    <row r="14" spans="1:35" x14ac:dyDescent="0.3">
      <c r="C14" s="18" t="s">
        <v>77</v>
      </c>
      <c r="D14" s="10" t="s">
        <v>13</v>
      </c>
      <c r="E14" s="23" t="s">
        <v>74</v>
      </c>
      <c r="F14" s="24" t="s">
        <v>39</v>
      </c>
      <c r="G14" s="23" t="s">
        <v>40</v>
      </c>
      <c r="H14" s="24" t="s">
        <v>40</v>
      </c>
      <c r="I14" s="23" t="s">
        <v>40</v>
      </c>
      <c r="J14" s="24" t="s">
        <v>39</v>
      </c>
      <c r="K14" s="23" t="s">
        <v>74</v>
      </c>
      <c r="L14" s="24" t="s">
        <v>39</v>
      </c>
      <c r="M14" s="23" t="s">
        <v>74</v>
      </c>
      <c r="N14" s="24" t="s">
        <v>40</v>
      </c>
      <c r="O14" s="23" t="s">
        <v>74</v>
      </c>
      <c r="P14" s="24" t="s">
        <v>39</v>
      </c>
      <c r="Q14" s="23" t="s">
        <v>74</v>
      </c>
      <c r="R14" s="24" t="s">
        <v>74</v>
      </c>
      <c r="S14" s="23" t="s">
        <v>39</v>
      </c>
      <c r="T14" s="24" t="s">
        <v>39</v>
      </c>
      <c r="U14" s="23" t="s">
        <v>74</v>
      </c>
      <c r="V14" s="24" t="s">
        <v>39</v>
      </c>
      <c r="W14" s="23" t="s">
        <v>39</v>
      </c>
      <c r="X14" s="24" t="s">
        <v>39</v>
      </c>
      <c r="Z14" s="6">
        <f t="shared" si="0"/>
        <v>20</v>
      </c>
      <c r="AA14" s="26">
        <f t="shared" si="1"/>
        <v>0.45</v>
      </c>
      <c r="AB14" s="9">
        <f t="shared" si="2"/>
        <v>0.35</v>
      </c>
      <c r="AC14" s="9">
        <f t="shared" si="3"/>
        <v>0.2</v>
      </c>
      <c r="AD14" s="9">
        <f t="shared" si="4"/>
        <v>0</v>
      </c>
      <c r="AE14" s="13">
        <f t="shared" si="5"/>
        <v>0.55000000000000004</v>
      </c>
      <c r="AF14" s="13"/>
    </row>
    <row r="15" spans="1:35" x14ac:dyDescent="0.3">
      <c r="A15" s="4" t="s">
        <v>82</v>
      </c>
      <c r="C15" s="18" t="s">
        <v>55</v>
      </c>
      <c r="D15" s="10" t="s">
        <v>13</v>
      </c>
      <c r="E15" s="23" t="s">
        <v>39</v>
      </c>
      <c r="F15" s="24" t="s">
        <v>39</v>
      </c>
      <c r="G15" s="23" t="s">
        <v>39</v>
      </c>
      <c r="H15" s="24" t="s">
        <v>39</v>
      </c>
      <c r="I15" s="23" t="s">
        <v>39</v>
      </c>
      <c r="J15" s="24" t="s">
        <v>39</v>
      </c>
      <c r="K15" s="23" t="s">
        <v>39</v>
      </c>
      <c r="L15" s="24" t="s">
        <v>39</v>
      </c>
      <c r="M15" s="23" t="s">
        <v>39</v>
      </c>
      <c r="N15" s="24" t="s">
        <v>39</v>
      </c>
      <c r="O15" s="23" t="s">
        <v>39</v>
      </c>
      <c r="P15" s="24" t="s">
        <v>39</v>
      </c>
      <c r="Q15" s="23" t="s">
        <v>39</v>
      </c>
      <c r="R15" s="24" t="s">
        <v>39</v>
      </c>
      <c r="S15" s="23" t="s">
        <v>39</v>
      </c>
      <c r="T15" s="24" t="s">
        <v>39</v>
      </c>
      <c r="U15" s="23" t="s">
        <v>39</v>
      </c>
      <c r="V15" s="24" t="s">
        <v>39</v>
      </c>
      <c r="W15" s="23" t="s">
        <v>39</v>
      </c>
      <c r="X15" s="24" t="s">
        <v>39</v>
      </c>
      <c r="Z15" s="6">
        <f t="shared" si="0"/>
        <v>20</v>
      </c>
      <c r="AA15" s="26">
        <f t="shared" si="1"/>
        <v>1</v>
      </c>
      <c r="AB15" s="9">
        <f t="shared" si="2"/>
        <v>0</v>
      </c>
      <c r="AC15" s="9">
        <f t="shared" si="3"/>
        <v>0</v>
      </c>
      <c r="AD15" s="9">
        <f t="shared" si="4"/>
        <v>0</v>
      </c>
      <c r="AE15" s="13">
        <f t="shared" si="5"/>
        <v>0</v>
      </c>
      <c r="AF15" s="13">
        <f t="shared" si="6"/>
        <v>0</v>
      </c>
    </row>
    <row r="16" spans="1:35" x14ac:dyDescent="0.3">
      <c r="C16" s="18" t="s">
        <v>56</v>
      </c>
      <c r="D16" s="10" t="s">
        <v>13</v>
      </c>
      <c r="E16" s="23" t="s">
        <v>39</v>
      </c>
      <c r="F16" s="24" t="s">
        <v>39</v>
      </c>
      <c r="G16" s="23" t="s">
        <v>40</v>
      </c>
      <c r="H16" s="24" t="s">
        <v>40</v>
      </c>
      <c r="I16" s="23" t="s">
        <v>39</v>
      </c>
      <c r="J16" s="24" t="s">
        <v>40</v>
      </c>
      <c r="K16" s="23" t="s">
        <v>39</v>
      </c>
      <c r="L16" s="24" t="s">
        <v>39</v>
      </c>
      <c r="M16" s="23" t="s">
        <v>39</v>
      </c>
      <c r="N16" s="24" t="s">
        <v>39</v>
      </c>
      <c r="O16" s="23" t="s">
        <v>40</v>
      </c>
      <c r="P16" s="24" t="s">
        <v>40</v>
      </c>
      <c r="Q16" s="23" t="s">
        <v>40</v>
      </c>
      <c r="R16" s="24" t="s">
        <v>39</v>
      </c>
      <c r="S16" s="23" t="s">
        <v>39</v>
      </c>
      <c r="T16" s="24" t="s">
        <v>39</v>
      </c>
      <c r="U16" s="23" t="s">
        <v>39</v>
      </c>
      <c r="V16" s="24" t="s">
        <v>40</v>
      </c>
      <c r="W16" s="23" t="s">
        <v>40</v>
      </c>
      <c r="X16" s="24" t="s">
        <v>39</v>
      </c>
      <c r="Z16" s="6">
        <f t="shared" si="0"/>
        <v>20</v>
      </c>
      <c r="AA16" s="26">
        <f t="shared" si="1"/>
        <v>0.6</v>
      </c>
      <c r="AB16" s="9">
        <f t="shared" si="2"/>
        <v>0</v>
      </c>
      <c r="AC16" s="9">
        <f t="shared" si="3"/>
        <v>0.4</v>
      </c>
      <c r="AD16" s="9">
        <f t="shared" si="4"/>
        <v>0</v>
      </c>
      <c r="AE16" s="13">
        <f t="shared" si="5"/>
        <v>0.4</v>
      </c>
      <c r="AF16" s="13"/>
    </row>
    <row r="17" spans="1:32" x14ac:dyDescent="0.3">
      <c r="A17" s="4" t="s">
        <v>42</v>
      </c>
      <c r="C17" s="18" t="s">
        <v>2</v>
      </c>
      <c r="D17" s="10" t="s">
        <v>13</v>
      </c>
      <c r="E17" s="23" t="s">
        <v>39</v>
      </c>
      <c r="F17" s="24" t="s">
        <v>39</v>
      </c>
      <c r="G17" s="23" t="s">
        <v>39</v>
      </c>
      <c r="H17" s="24" t="s">
        <v>39</v>
      </c>
      <c r="I17" s="23" t="s">
        <v>39</v>
      </c>
      <c r="J17" s="24" t="s">
        <v>39</v>
      </c>
      <c r="K17" s="23" t="s">
        <v>39</v>
      </c>
      <c r="L17" s="24" t="s">
        <v>39</v>
      </c>
      <c r="M17" s="23" t="s">
        <v>39</v>
      </c>
      <c r="N17" s="24" t="s">
        <v>39</v>
      </c>
      <c r="O17" s="23" t="s">
        <v>39</v>
      </c>
      <c r="P17" s="24" t="s">
        <v>39</v>
      </c>
      <c r="Q17" s="23" t="s">
        <v>39</v>
      </c>
      <c r="R17" s="24" t="s">
        <v>39</v>
      </c>
      <c r="S17" s="23" t="s">
        <v>39</v>
      </c>
      <c r="T17" s="24" t="s">
        <v>39</v>
      </c>
      <c r="U17" s="23" t="s">
        <v>39</v>
      </c>
      <c r="V17" s="24" t="s">
        <v>39</v>
      </c>
      <c r="W17" s="23" t="s">
        <v>39</v>
      </c>
      <c r="X17" s="24" t="s">
        <v>39</v>
      </c>
      <c r="Z17" s="6">
        <f t="shared" si="0"/>
        <v>20</v>
      </c>
      <c r="AA17" s="26">
        <f t="shared" si="1"/>
        <v>1</v>
      </c>
      <c r="AB17" s="9">
        <f t="shared" si="2"/>
        <v>0</v>
      </c>
      <c r="AC17" s="9">
        <f t="shared" si="3"/>
        <v>0</v>
      </c>
      <c r="AD17" s="9">
        <f t="shared" si="4"/>
        <v>0</v>
      </c>
      <c r="AE17" s="13">
        <f t="shared" si="5"/>
        <v>0</v>
      </c>
      <c r="AF17" s="13">
        <f t="shared" si="6"/>
        <v>0</v>
      </c>
    </row>
    <row r="18" spans="1:32" x14ac:dyDescent="0.3">
      <c r="C18" s="18" t="s">
        <v>3</v>
      </c>
      <c r="D18" s="10" t="s">
        <v>13</v>
      </c>
      <c r="E18" s="23" t="s">
        <v>39</v>
      </c>
      <c r="F18" s="24" t="s">
        <v>39</v>
      </c>
      <c r="G18" s="23" t="s">
        <v>39</v>
      </c>
      <c r="H18" s="24" t="s">
        <v>39</v>
      </c>
      <c r="I18" s="23" t="s">
        <v>39</v>
      </c>
      <c r="J18" s="24" t="s">
        <v>39</v>
      </c>
      <c r="K18" s="23" t="s">
        <v>39</v>
      </c>
      <c r="L18" s="24" t="s">
        <v>39</v>
      </c>
      <c r="M18" s="23" t="s">
        <v>39</v>
      </c>
      <c r="N18" s="24" t="s">
        <v>39</v>
      </c>
      <c r="O18" s="23" t="s">
        <v>39</v>
      </c>
      <c r="P18" s="24" t="s">
        <v>39</v>
      </c>
      <c r="Q18" s="23" t="s">
        <v>39</v>
      </c>
      <c r="R18" s="24" t="s">
        <v>40</v>
      </c>
      <c r="S18" s="23" t="s">
        <v>39</v>
      </c>
      <c r="T18" s="24" t="s">
        <v>39</v>
      </c>
      <c r="U18" s="23" t="s">
        <v>39</v>
      </c>
      <c r="V18" s="24" t="s">
        <v>39</v>
      </c>
      <c r="W18" s="23" t="s">
        <v>39</v>
      </c>
      <c r="X18" s="24" t="s">
        <v>40</v>
      </c>
      <c r="Z18" s="6">
        <f t="shared" si="0"/>
        <v>20</v>
      </c>
      <c r="AA18" s="26">
        <f t="shared" si="1"/>
        <v>0.9</v>
      </c>
      <c r="AB18" s="9">
        <f t="shared" si="2"/>
        <v>0</v>
      </c>
      <c r="AC18" s="9">
        <f t="shared" si="3"/>
        <v>0.1</v>
      </c>
      <c r="AD18" s="9">
        <f t="shared" si="4"/>
        <v>0</v>
      </c>
      <c r="AE18" s="13">
        <f t="shared" si="5"/>
        <v>0.1</v>
      </c>
      <c r="AF18" s="13"/>
    </row>
    <row r="19" spans="1:32" x14ac:dyDescent="0.3">
      <c r="A19" s="4" t="s">
        <v>45</v>
      </c>
      <c r="C19" s="18" t="s">
        <v>57</v>
      </c>
      <c r="D19" s="10" t="s">
        <v>13</v>
      </c>
      <c r="E19" s="23" t="s">
        <v>39</v>
      </c>
      <c r="F19" s="24" t="s">
        <v>39</v>
      </c>
      <c r="G19" s="23" t="s">
        <v>39</v>
      </c>
      <c r="H19" s="24" t="s">
        <v>39</v>
      </c>
      <c r="I19" s="23" t="s">
        <v>39</v>
      </c>
      <c r="J19" s="24" t="s">
        <v>39</v>
      </c>
      <c r="K19" s="23" t="s">
        <v>39</v>
      </c>
      <c r="L19" s="24" t="s">
        <v>39</v>
      </c>
      <c r="M19" s="23" t="s">
        <v>39</v>
      </c>
      <c r="N19" s="24" t="s">
        <v>40</v>
      </c>
      <c r="O19" s="23" t="s">
        <v>40</v>
      </c>
      <c r="P19" s="24" t="s">
        <v>39</v>
      </c>
      <c r="Q19" s="23" t="s">
        <v>39</v>
      </c>
      <c r="R19" s="24" t="s">
        <v>40</v>
      </c>
      <c r="S19" s="23" t="s">
        <v>39</v>
      </c>
      <c r="T19" s="24" t="s">
        <v>39</v>
      </c>
      <c r="U19" s="23" t="s">
        <v>40</v>
      </c>
      <c r="V19" s="24" t="s">
        <v>39</v>
      </c>
      <c r="W19" s="23" t="s">
        <v>39</v>
      </c>
      <c r="X19" s="24" t="s">
        <v>39</v>
      </c>
      <c r="Z19" s="6">
        <f t="shared" si="0"/>
        <v>20</v>
      </c>
      <c r="AA19" s="26">
        <f t="shared" si="1"/>
        <v>0.8</v>
      </c>
      <c r="AB19" s="9">
        <f t="shared" si="2"/>
        <v>0</v>
      </c>
      <c r="AC19" s="9">
        <f t="shared" si="3"/>
        <v>0.2</v>
      </c>
      <c r="AD19" s="9">
        <f t="shared" si="4"/>
        <v>0</v>
      </c>
      <c r="AE19" s="13">
        <f t="shared" si="5"/>
        <v>0.2</v>
      </c>
      <c r="AF19" s="13">
        <f t="shared" si="6"/>
        <v>0.2</v>
      </c>
    </row>
    <row r="20" spans="1:32" x14ac:dyDescent="0.3">
      <c r="C20" s="18" t="s">
        <v>4</v>
      </c>
      <c r="D20" s="10" t="s">
        <v>14</v>
      </c>
      <c r="E20" s="33"/>
      <c r="F20" s="32"/>
      <c r="G20" s="33"/>
      <c r="H20" s="32"/>
      <c r="I20" s="33"/>
      <c r="J20" s="32"/>
      <c r="K20" s="33"/>
      <c r="L20" s="32"/>
      <c r="M20" s="33"/>
      <c r="N20" s="32"/>
      <c r="O20" s="33"/>
      <c r="P20" s="32"/>
      <c r="Q20" s="33"/>
      <c r="R20" s="32"/>
      <c r="S20" s="33"/>
      <c r="T20" s="32"/>
      <c r="U20" s="33"/>
      <c r="V20" s="32"/>
      <c r="W20" s="23" t="s">
        <v>39</v>
      </c>
      <c r="X20" s="24" t="s">
        <v>39</v>
      </c>
      <c r="Z20" s="6">
        <f t="shared" si="0"/>
        <v>2</v>
      </c>
      <c r="AA20" s="26">
        <f t="shared" si="1"/>
        <v>1</v>
      </c>
      <c r="AB20" s="9">
        <f t="shared" si="2"/>
        <v>0</v>
      </c>
      <c r="AC20" s="9">
        <f t="shared" si="3"/>
        <v>0</v>
      </c>
      <c r="AD20" s="9">
        <f t="shared" si="4"/>
        <v>0</v>
      </c>
      <c r="AE20" s="13">
        <f t="shared" si="5"/>
        <v>0</v>
      </c>
      <c r="AF20" s="13"/>
    </row>
    <row r="21" spans="1:32" x14ac:dyDescent="0.3">
      <c r="C21" s="18" t="s">
        <v>58</v>
      </c>
      <c r="D21" s="10" t="s">
        <v>13</v>
      </c>
      <c r="E21" s="23" t="s">
        <v>39</v>
      </c>
      <c r="F21" s="24" t="s">
        <v>40</v>
      </c>
      <c r="G21" s="23" t="s">
        <v>40</v>
      </c>
      <c r="H21" s="24" t="s">
        <v>40</v>
      </c>
      <c r="I21" s="23" t="s">
        <v>39</v>
      </c>
      <c r="J21" s="24" t="s">
        <v>40</v>
      </c>
      <c r="K21" s="23" t="s">
        <v>39</v>
      </c>
      <c r="L21" s="24" t="s">
        <v>39</v>
      </c>
      <c r="M21" s="23" t="s">
        <v>39</v>
      </c>
      <c r="N21" s="24" t="s">
        <v>40</v>
      </c>
      <c r="O21" s="23" t="s">
        <v>40</v>
      </c>
      <c r="P21" s="24" t="s">
        <v>39</v>
      </c>
      <c r="Q21" s="23" t="s">
        <v>39</v>
      </c>
      <c r="R21" s="24" t="s">
        <v>39</v>
      </c>
      <c r="S21" s="23" t="s">
        <v>39</v>
      </c>
      <c r="T21" s="24" t="s">
        <v>39</v>
      </c>
      <c r="U21" s="23" t="s">
        <v>40</v>
      </c>
      <c r="V21" s="24" t="s">
        <v>40</v>
      </c>
      <c r="W21" s="23" t="s">
        <v>40</v>
      </c>
      <c r="X21" s="24" t="s">
        <v>39</v>
      </c>
      <c r="Z21" s="6">
        <f t="shared" si="0"/>
        <v>20</v>
      </c>
      <c r="AA21" s="26">
        <f t="shared" si="1"/>
        <v>0.55000000000000004</v>
      </c>
      <c r="AB21" s="9">
        <f t="shared" si="2"/>
        <v>0</v>
      </c>
      <c r="AC21" s="9">
        <f t="shared" si="3"/>
        <v>0.45</v>
      </c>
      <c r="AD21" s="9">
        <f t="shared" si="4"/>
        <v>0</v>
      </c>
      <c r="AE21" s="13">
        <f t="shared" si="5"/>
        <v>0.45</v>
      </c>
      <c r="AF21" s="13"/>
    </row>
    <row r="22" spans="1:32" x14ac:dyDescent="0.3">
      <c r="A22" s="4" t="s">
        <v>43</v>
      </c>
      <c r="C22" s="18" t="s">
        <v>59</v>
      </c>
      <c r="D22" s="10" t="s">
        <v>13</v>
      </c>
      <c r="E22" s="23" t="s">
        <v>39</v>
      </c>
      <c r="F22" s="24" t="s">
        <v>39</v>
      </c>
      <c r="G22" s="23" t="s">
        <v>39</v>
      </c>
      <c r="H22" s="24" t="s">
        <v>39</v>
      </c>
      <c r="I22" s="23" t="s">
        <v>40</v>
      </c>
      <c r="J22" s="24" t="s">
        <v>39</v>
      </c>
      <c r="K22" s="23" t="s">
        <v>39</v>
      </c>
      <c r="L22" s="24" t="s">
        <v>39</v>
      </c>
      <c r="M22" s="23" t="s">
        <v>39</v>
      </c>
      <c r="N22" s="24" t="s">
        <v>39</v>
      </c>
      <c r="O22" s="23" t="s">
        <v>39</v>
      </c>
      <c r="P22" s="24" t="s">
        <v>40</v>
      </c>
      <c r="Q22" s="23" t="s">
        <v>39</v>
      </c>
      <c r="R22" s="24" t="s">
        <v>39</v>
      </c>
      <c r="S22" s="23" t="s">
        <v>39</v>
      </c>
      <c r="T22" s="24" t="s">
        <v>39</v>
      </c>
      <c r="U22" s="23" t="s">
        <v>40</v>
      </c>
      <c r="V22" s="24" t="s">
        <v>39</v>
      </c>
      <c r="W22" s="23" t="s">
        <v>39</v>
      </c>
      <c r="X22" s="24" t="s">
        <v>39</v>
      </c>
      <c r="Z22" s="6">
        <f t="shared" si="0"/>
        <v>20</v>
      </c>
      <c r="AA22" s="26">
        <f t="shared" si="1"/>
        <v>0.85</v>
      </c>
      <c r="AB22" s="9">
        <f t="shared" si="2"/>
        <v>0</v>
      </c>
      <c r="AC22" s="9">
        <f t="shared" si="3"/>
        <v>0.15</v>
      </c>
      <c r="AD22" s="9">
        <f t="shared" si="4"/>
        <v>0</v>
      </c>
      <c r="AE22" s="13">
        <f t="shared" si="5"/>
        <v>0.15</v>
      </c>
      <c r="AF22" s="13">
        <f t="shared" si="6"/>
        <v>0.15</v>
      </c>
    </row>
    <row r="23" spans="1:32" x14ac:dyDescent="0.3">
      <c r="C23" s="18" t="s">
        <v>60</v>
      </c>
      <c r="D23" s="10" t="s">
        <v>12</v>
      </c>
      <c r="E23" s="33"/>
      <c r="F23" s="32"/>
      <c r="G23" s="33"/>
      <c r="H23" s="32"/>
      <c r="I23" s="33"/>
      <c r="J23" s="32"/>
      <c r="K23" s="33"/>
      <c r="L23" s="32"/>
      <c r="M23" s="33"/>
      <c r="N23" s="32"/>
      <c r="O23" s="33"/>
      <c r="P23" s="32"/>
      <c r="Q23" s="33"/>
      <c r="R23" s="32"/>
      <c r="S23" s="33"/>
      <c r="T23" s="32"/>
      <c r="U23" s="23" t="s">
        <v>39</v>
      </c>
      <c r="V23" s="24" t="s">
        <v>40</v>
      </c>
      <c r="W23" s="23" t="s">
        <v>39</v>
      </c>
      <c r="X23" s="24" t="s">
        <v>39</v>
      </c>
      <c r="Z23" s="6">
        <f t="shared" si="0"/>
        <v>4</v>
      </c>
      <c r="AA23" s="26">
        <f t="shared" si="1"/>
        <v>0.75</v>
      </c>
      <c r="AB23" s="9">
        <f t="shared" si="2"/>
        <v>0</v>
      </c>
      <c r="AC23" s="9">
        <f t="shared" si="3"/>
        <v>0.25</v>
      </c>
      <c r="AD23" s="9">
        <f t="shared" si="4"/>
        <v>0</v>
      </c>
      <c r="AE23" s="13">
        <f t="shared" si="5"/>
        <v>0.25</v>
      </c>
      <c r="AF23" s="13"/>
    </row>
    <row r="24" spans="1:32" x14ac:dyDescent="0.3">
      <c r="C24" s="18" t="s">
        <v>61</v>
      </c>
      <c r="D24" s="10" t="s">
        <v>13</v>
      </c>
      <c r="E24" s="23" t="s">
        <v>40</v>
      </c>
      <c r="F24" s="24" t="s">
        <v>39</v>
      </c>
      <c r="G24" s="23" t="s">
        <v>40</v>
      </c>
      <c r="H24" s="24" t="s">
        <v>40</v>
      </c>
      <c r="I24" s="23" t="s">
        <v>40</v>
      </c>
      <c r="J24" s="24" t="s">
        <v>39</v>
      </c>
      <c r="K24" s="23" t="s">
        <v>40</v>
      </c>
      <c r="L24" s="24" t="s">
        <v>40</v>
      </c>
      <c r="M24" s="23" t="s">
        <v>40</v>
      </c>
      <c r="N24" s="24" t="s">
        <v>40</v>
      </c>
      <c r="O24" s="23" t="s">
        <v>40</v>
      </c>
      <c r="P24" s="24" t="s">
        <v>40</v>
      </c>
      <c r="Q24" s="23" t="s">
        <v>40</v>
      </c>
      <c r="R24" s="24" t="s">
        <v>40</v>
      </c>
      <c r="S24" s="23" t="s">
        <v>40</v>
      </c>
      <c r="T24" s="24" t="s">
        <v>40</v>
      </c>
      <c r="U24" s="23" t="s">
        <v>40</v>
      </c>
      <c r="V24" s="24" t="s">
        <v>40</v>
      </c>
      <c r="W24" s="23" t="s">
        <v>40</v>
      </c>
      <c r="X24" s="24" t="s">
        <v>40</v>
      </c>
      <c r="Z24" s="6">
        <f t="shared" si="0"/>
        <v>20</v>
      </c>
      <c r="AA24" s="26">
        <f t="shared" si="1"/>
        <v>0.1</v>
      </c>
      <c r="AB24" s="9">
        <f t="shared" si="2"/>
        <v>0</v>
      </c>
      <c r="AC24" s="9">
        <f t="shared" si="3"/>
        <v>0.9</v>
      </c>
      <c r="AD24" s="9">
        <f t="shared" si="4"/>
        <v>0</v>
      </c>
      <c r="AE24" s="13">
        <f t="shared" si="5"/>
        <v>0.9</v>
      </c>
      <c r="AF24" s="13"/>
    </row>
    <row r="25" spans="1:32" x14ac:dyDescent="0.3">
      <c r="C25" s="18" t="s">
        <v>62</v>
      </c>
      <c r="D25" s="10" t="s">
        <v>12</v>
      </c>
      <c r="E25" s="33"/>
      <c r="F25" s="32"/>
      <c r="G25" s="33"/>
      <c r="H25" s="32"/>
      <c r="I25" s="33"/>
      <c r="J25" s="32"/>
      <c r="K25" s="33"/>
      <c r="L25" s="32"/>
      <c r="M25" s="23" t="s">
        <v>39</v>
      </c>
      <c r="N25" s="24" t="s">
        <v>39</v>
      </c>
      <c r="O25" s="23" t="s">
        <v>39</v>
      </c>
      <c r="P25" s="24" t="s">
        <v>39</v>
      </c>
      <c r="Q25" s="23" t="s">
        <v>40</v>
      </c>
      <c r="R25" s="24" t="s">
        <v>39</v>
      </c>
      <c r="S25" s="37"/>
      <c r="T25" s="24" t="s">
        <v>39</v>
      </c>
      <c r="U25" s="23" t="s">
        <v>39</v>
      </c>
      <c r="V25" s="24" t="s">
        <v>39</v>
      </c>
      <c r="W25" s="23" t="s">
        <v>39</v>
      </c>
      <c r="X25" s="24" t="s">
        <v>39</v>
      </c>
      <c r="Z25" s="6">
        <f t="shared" si="0"/>
        <v>11</v>
      </c>
      <c r="AA25" s="26">
        <f t="shared" si="1"/>
        <v>0.90909090909090906</v>
      </c>
      <c r="AB25" s="9">
        <f t="shared" si="2"/>
        <v>0</v>
      </c>
      <c r="AC25" s="9">
        <f t="shared" si="3"/>
        <v>9.0909090909090912E-2</v>
      </c>
      <c r="AD25" s="9">
        <f t="shared" si="4"/>
        <v>0</v>
      </c>
      <c r="AE25" s="13">
        <f t="shared" si="5"/>
        <v>9.0909090909090912E-2</v>
      </c>
      <c r="AF25" s="13"/>
    </row>
    <row r="26" spans="1:32" x14ac:dyDescent="0.3">
      <c r="C26" s="18" t="s">
        <v>63</v>
      </c>
      <c r="D26" s="10" t="s">
        <v>12</v>
      </c>
      <c r="E26" s="33"/>
      <c r="F26" s="32"/>
      <c r="G26" s="33"/>
      <c r="H26" s="32"/>
      <c r="I26" s="33"/>
      <c r="J26" s="32"/>
      <c r="K26" s="33"/>
      <c r="L26" s="32"/>
      <c r="M26" s="33"/>
      <c r="N26" s="32"/>
      <c r="O26" s="33"/>
      <c r="P26" s="32"/>
      <c r="Q26" s="33"/>
      <c r="R26" s="32"/>
      <c r="S26" s="33"/>
      <c r="T26" s="32"/>
      <c r="U26" s="23" t="s">
        <v>39</v>
      </c>
      <c r="V26" s="24" t="s">
        <v>40</v>
      </c>
      <c r="W26" s="23" t="s">
        <v>39</v>
      </c>
      <c r="X26" s="24" t="s">
        <v>40</v>
      </c>
      <c r="Z26" s="6">
        <f t="shared" si="0"/>
        <v>4</v>
      </c>
      <c r="AA26" s="26">
        <f t="shared" si="1"/>
        <v>0.5</v>
      </c>
      <c r="AB26" s="9">
        <f t="shared" si="2"/>
        <v>0</v>
      </c>
      <c r="AC26" s="9">
        <f t="shared" si="3"/>
        <v>0.5</v>
      </c>
      <c r="AD26" s="9">
        <f t="shared" si="4"/>
        <v>0</v>
      </c>
      <c r="AE26" s="13">
        <f t="shared" si="5"/>
        <v>0.5</v>
      </c>
      <c r="AF26" s="13"/>
    </row>
    <row r="27" spans="1:32" x14ac:dyDescent="0.3">
      <c r="A27" s="4" t="s">
        <v>85</v>
      </c>
      <c r="C27" s="18" t="s">
        <v>64</v>
      </c>
      <c r="D27" s="10" t="s">
        <v>13</v>
      </c>
      <c r="E27" s="23" t="s">
        <v>40</v>
      </c>
      <c r="F27" s="24" t="s">
        <v>39</v>
      </c>
      <c r="G27" s="23" t="s">
        <v>39</v>
      </c>
      <c r="H27" s="24" t="s">
        <v>40</v>
      </c>
      <c r="I27" s="23" t="s">
        <v>39</v>
      </c>
      <c r="J27" s="24" t="s">
        <v>39</v>
      </c>
      <c r="K27" s="23" t="s">
        <v>39</v>
      </c>
      <c r="L27" s="24" t="s">
        <v>39</v>
      </c>
      <c r="M27" s="23" t="s">
        <v>39</v>
      </c>
      <c r="N27" s="24" t="s">
        <v>40</v>
      </c>
      <c r="O27" s="23" t="s">
        <v>39</v>
      </c>
      <c r="P27" s="24" t="s">
        <v>39</v>
      </c>
      <c r="Q27" s="23" t="s">
        <v>40</v>
      </c>
      <c r="R27" s="24" t="s">
        <v>39</v>
      </c>
      <c r="S27" s="23" t="s">
        <v>39</v>
      </c>
      <c r="T27" s="24" t="s">
        <v>39</v>
      </c>
      <c r="U27" s="23" t="s">
        <v>39</v>
      </c>
      <c r="V27" s="24" t="s">
        <v>40</v>
      </c>
      <c r="W27" s="23" t="s">
        <v>40</v>
      </c>
      <c r="X27" s="24" t="s">
        <v>39</v>
      </c>
      <c r="Z27" s="6">
        <f t="shared" si="0"/>
        <v>20</v>
      </c>
      <c r="AA27" s="26">
        <f t="shared" si="1"/>
        <v>0.7</v>
      </c>
      <c r="AB27" s="9">
        <f t="shared" si="2"/>
        <v>0</v>
      </c>
      <c r="AC27" s="9">
        <f t="shared" si="3"/>
        <v>0.3</v>
      </c>
      <c r="AD27" s="9">
        <f t="shared" si="4"/>
        <v>0</v>
      </c>
      <c r="AE27" s="13">
        <f t="shared" si="5"/>
        <v>0.3</v>
      </c>
      <c r="AF27" s="13">
        <f t="shared" si="6"/>
        <v>0.3</v>
      </c>
    </row>
    <row r="28" spans="1:32" x14ac:dyDescent="0.3">
      <c r="C28" s="18" t="s">
        <v>65</v>
      </c>
      <c r="D28" s="10" t="s">
        <v>12</v>
      </c>
      <c r="E28" s="33"/>
      <c r="F28" s="32"/>
      <c r="G28" s="33"/>
      <c r="H28" s="32"/>
      <c r="I28" s="33"/>
      <c r="J28" s="32"/>
      <c r="K28" s="33"/>
      <c r="L28" s="32"/>
      <c r="M28" s="23" t="s">
        <v>39</v>
      </c>
      <c r="N28" s="24" t="s">
        <v>39</v>
      </c>
      <c r="O28" s="23" t="s">
        <v>39</v>
      </c>
      <c r="P28" s="24" t="s">
        <v>39</v>
      </c>
      <c r="Q28" s="23" t="s">
        <v>39</v>
      </c>
      <c r="R28" s="24" t="s">
        <v>39</v>
      </c>
      <c r="S28" s="37"/>
      <c r="T28" s="24" t="s">
        <v>39</v>
      </c>
      <c r="U28" s="23" t="s">
        <v>39</v>
      </c>
      <c r="V28" s="24" t="s">
        <v>39</v>
      </c>
      <c r="W28" s="23" t="s">
        <v>40</v>
      </c>
      <c r="X28" s="24" t="s">
        <v>39</v>
      </c>
      <c r="Z28" s="6">
        <f t="shared" si="0"/>
        <v>11</v>
      </c>
      <c r="AA28" s="26">
        <f t="shared" si="1"/>
        <v>0.90909090909090906</v>
      </c>
      <c r="AB28" s="9">
        <f t="shared" si="2"/>
        <v>0</v>
      </c>
      <c r="AC28" s="9">
        <f t="shared" si="3"/>
        <v>9.0909090909090912E-2</v>
      </c>
      <c r="AD28" s="9">
        <f t="shared" si="4"/>
        <v>0</v>
      </c>
      <c r="AE28" s="13">
        <f t="shared" si="5"/>
        <v>9.0909090909090912E-2</v>
      </c>
      <c r="AF28" s="13"/>
    </row>
    <row r="29" spans="1:32" x14ac:dyDescent="0.3">
      <c r="C29" s="18" t="s">
        <v>66</v>
      </c>
      <c r="D29" s="10" t="s">
        <v>13</v>
      </c>
      <c r="E29" s="23" t="s">
        <v>39</v>
      </c>
      <c r="F29" s="24" t="s">
        <v>39</v>
      </c>
      <c r="G29" s="23" t="s">
        <v>40</v>
      </c>
      <c r="H29" s="24" t="s">
        <v>39</v>
      </c>
      <c r="I29" s="23" t="s">
        <v>40</v>
      </c>
      <c r="J29" s="24" t="s">
        <v>40</v>
      </c>
      <c r="K29" s="23" t="s">
        <v>40</v>
      </c>
      <c r="L29" s="24" t="s">
        <v>39</v>
      </c>
      <c r="M29" s="23" t="s">
        <v>39</v>
      </c>
      <c r="N29" s="24" t="s">
        <v>40</v>
      </c>
      <c r="O29" s="23" t="s">
        <v>40</v>
      </c>
      <c r="P29" s="24" t="s">
        <v>40</v>
      </c>
      <c r="Q29" s="23" t="s">
        <v>40</v>
      </c>
      <c r="R29" s="24" t="s">
        <v>40</v>
      </c>
      <c r="S29" s="23" t="s">
        <v>40</v>
      </c>
      <c r="T29" s="24" t="s">
        <v>39</v>
      </c>
      <c r="U29" s="23" t="s">
        <v>39</v>
      </c>
      <c r="V29" s="24" t="s">
        <v>40</v>
      </c>
      <c r="W29" s="23" t="s">
        <v>40</v>
      </c>
      <c r="X29" s="24" t="s">
        <v>39</v>
      </c>
      <c r="Z29" s="6">
        <f t="shared" si="0"/>
        <v>20</v>
      </c>
      <c r="AA29" s="26">
        <f t="shared" si="1"/>
        <v>0.4</v>
      </c>
      <c r="AB29" s="9">
        <f t="shared" si="2"/>
        <v>0</v>
      </c>
      <c r="AC29" s="9">
        <f t="shared" si="3"/>
        <v>0.6</v>
      </c>
      <c r="AD29" s="9">
        <f t="shared" si="4"/>
        <v>0</v>
      </c>
      <c r="AE29" s="13">
        <f t="shared" si="5"/>
        <v>0.6</v>
      </c>
      <c r="AF29" s="13"/>
    </row>
    <row r="30" spans="1:32" x14ac:dyDescent="0.3">
      <c r="C30" s="18" t="s">
        <v>81</v>
      </c>
      <c r="D30" s="10" t="s">
        <v>13</v>
      </c>
      <c r="E30" s="23" t="s">
        <v>40</v>
      </c>
      <c r="F30" s="24" t="s">
        <v>40</v>
      </c>
      <c r="G30" s="23" t="s">
        <v>40</v>
      </c>
      <c r="H30" s="24" t="s">
        <v>40</v>
      </c>
      <c r="I30" s="23" t="s">
        <v>40</v>
      </c>
      <c r="J30" s="24" t="s">
        <v>40</v>
      </c>
      <c r="K30" s="23" t="s">
        <v>40</v>
      </c>
      <c r="L30" s="24" t="s">
        <v>40</v>
      </c>
      <c r="M30" s="33"/>
      <c r="N30" s="32"/>
      <c r="O30" s="33"/>
      <c r="P30" s="32"/>
      <c r="Q30" s="33"/>
      <c r="R30" s="32"/>
      <c r="S30" s="33"/>
      <c r="T30" s="32"/>
      <c r="U30" s="33"/>
      <c r="V30" s="32"/>
      <c r="W30" s="33"/>
      <c r="X30" s="32"/>
      <c r="Z30" s="6">
        <f t="shared" si="0"/>
        <v>8</v>
      </c>
      <c r="AA30" s="26">
        <f t="shared" si="1"/>
        <v>0</v>
      </c>
      <c r="AB30" s="9">
        <f t="shared" si="2"/>
        <v>0</v>
      </c>
      <c r="AC30" s="9">
        <f t="shared" si="3"/>
        <v>1</v>
      </c>
      <c r="AD30" s="9">
        <f t="shared" si="4"/>
        <v>0</v>
      </c>
      <c r="AE30" s="13">
        <f t="shared" ref="AE30" si="8">AB30+AC30</f>
        <v>1</v>
      </c>
      <c r="AF30" s="13"/>
    </row>
    <row r="31" spans="1:32" x14ac:dyDescent="0.3">
      <c r="A31" s="4" t="s">
        <v>72</v>
      </c>
      <c r="C31" s="18" t="s">
        <v>67</v>
      </c>
      <c r="D31" s="10" t="s">
        <v>13</v>
      </c>
      <c r="E31" s="23" t="s">
        <v>39</v>
      </c>
      <c r="F31" s="24" t="s">
        <v>39</v>
      </c>
      <c r="G31" s="23" t="s">
        <v>39</v>
      </c>
      <c r="H31" s="24" t="s">
        <v>40</v>
      </c>
      <c r="I31" s="23" t="s">
        <v>39</v>
      </c>
      <c r="J31" s="24" t="s">
        <v>39</v>
      </c>
      <c r="K31" s="23" t="s">
        <v>39</v>
      </c>
      <c r="L31" s="24" t="s">
        <v>39</v>
      </c>
      <c r="M31" s="23" t="s">
        <v>39</v>
      </c>
      <c r="N31" s="24" t="s">
        <v>39</v>
      </c>
      <c r="O31" s="23" t="s">
        <v>40</v>
      </c>
      <c r="P31" s="24" t="s">
        <v>39</v>
      </c>
      <c r="Q31" s="23" t="s">
        <v>39</v>
      </c>
      <c r="R31" s="24" t="s">
        <v>39</v>
      </c>
      <c r="S31" s="23" t="s">
        <v>39</v>
      </c>
      <c r="T31" s="24" t="s">
        <v>39</v>
      </c>
      <c r="U31" s="23" t="s">
        <v>39</v>
      </c>
      <c r="V31" s="24" t="s">
        <v>39</v>
      </c>
      <c r="W31" s="23" t="s">
        <v>40</v>
      </c>
      <c r="X31" s="24" t="s">
        <v>39</v>
      </c>
      <c r="Z31" s="6">
        <f t="shared" si="0"/>
        <v>20</v>
      </c>
      <c r="AA31" s="26">
        <f t="shared" si="1"/>
        <v>0.85</v>
      </c>
      <c r="AB31" s="9">
        <f t="shared" si="2"/>
        <v>0</v>
      </c>
      <c r="AC31" s="9">
        <f t="shared" si="3"/>
        <v>0.15</v>
      </c>
      <c r="AD31" s="9">
        <f t="shared" si="4"/>
        <v>0</v>
      </c>
      <c r="AE31" s="13">
        <f t="shared" si="5"/>
        <v>0.15</v>
      </c>
      <c r="AF31" s="13">
        <f t="shared" si="6"/>
        <v>0.15</v>
      </c>
    </row>
    <row r="32" spans="1:32" x14ac:dyDescent="0.3">
      <c r="C32" s="18" t="s">
        <v>68</v>
      </c>
      <c r="D32" s="10" t="s">
        <v>12</v>
      </c>
      <c r="E32" s="33"/>
      <c r="F32" s="32"/>
      <c r="G32" s="33"/>
      <c r="H32" s="32"/>
      <c r="I32" s="33"/>
      <c r="J32" s="32"/>
      <c r="K32" s="33"/>
      <c r="L32" s="32"/>
      <c r="M32" s="23" t="s">
        <v>39</v>
      </c>
      <c r="N32" s="24" t="s">
        <v>39</v>
      </c>
      <c r="O32" s="23" t="s">
        <v>39</v>
      </c>
      <c r="P32" s="24" t="s">
        <v>39</v>
      </c>
      <c r="Q32" s="23" t="s">
        <v>39</v>
      </c>
      <c r="R32" s="24" t="s">
        <v>39</v>
      </c>
      <c r="S32" s="37"/>
      <c r="T32" s="24" t="s">
        <v>39</v>
      </c>
      <c r="U32" s="23" t="s">
        <v>39</v>
      </c>
      <c r="V32" s="24" t="s">
        <v>39</v>
      </c>
      <c r="W32" s="23" t="s">
        <v>39</v>
      </c>
      <c r="X32" s="24" t="s">
        <v>39</v>
      </c>
      <c r="Z32" s="6">
        <f t="shared" si="0"/>
        <v>11</v>
      </c>
      <c r="AA32" s="26">
        <f t="shared" si="1"/>
        <v>1</v>
      </c>
      <c r="AB32" s="9">
        <f t="shared" si="2"/>
        <v>0</v>
      </c>
      <c r="AC32" s="9">
        <f t="shared" si="3"/>
        <v>0</v>
      </c>
      <c r="AD32" s="9">
        <f t="shared" si="4"/>
        <v>0</v>
      </c>
      <c r="AE32" s="13">
        <f t="shared" si="5"/>
        <v>0</v>
      </c>
      <c r="AF32" s="13"/>
    </row>
    <row r="33" spans="1:32" x14ac:dyDescent="0.3">
      <c r="A33" s="4" t="s">
        <v>44</v>
      </c>
      <c r="C33" s="18" t="s">
        <v>69</v>
      </c>
      <c r="D33" s="10" t="s">
        <v>13</v>
      </c>
      <c r="E33" s="23" t="s">
        <v>39</v>
      </c>
      <c r="F33" s="24" t="s">
        <v>40</v>
      </c>
      <c r="G33" s="23" t="s">
        <v>40</v>
      </c>
      <c r="H33" s="24" t="s">
        <v>40</v>
      </c>
      <c r="I33" s="23" t="s">
        <v>40</v>
      </c>
      <c r="J33" s="24" t="s">
        <v>40</v>
      </c>
      <c r="K33" s="23" t="s">
        <v>40</v>
      </c>
      <c r="L33" s="24" t="s">
        <v>40</v>
      </c>
      <c r="M33" s="23" t="s">
        <v>40</v>
      </c>
      <c r="N33" s="24" t="s">
        <v>40</v>
      </c>
      <c r="O33" s="23" t="s">
        <v>40</v>
      </c>
      <c r="P33" s="24" t="s">
        <v>40</v>
      </c>
      <c r="Q33" s="23" t="s">
        <v>40</v>
      </c>
      <c r="R33" s="24" t="s">
        <v>40</v>
      </c>
      <c r="S33" s="23" t="s">
        <v>40</v>
      </c>
      <c r="T33" s="24" t="s">
        <v>40</v>
      </c>
      <c r="U33" s="23" t="s">
        <v>40</v>
      </c>
      <c r="V33" s="24" t="s">
        <v>40</v>
      </c>
      <c r="W33" s="23" t="s">
        <v>40</v>
      </c>
      <c r="X33" s="24" t="s">
        <v>40</v>
      </c>
      <c r="Z33" s="6">
        <f t="shared" si="0"/>
        <v>20</v>
      </c>
      <c r="AA33" s="26">
        <f t="shared" si="1"/>
        <v>0.05</v>
      </c>
      <c r="AB33" s="9">
        <f t="shared" si="2"/>
        <v>0</v>
      </c>
      <c r="AC33" s="9">
        <f t="shared" si="3"/>
        <v>0.95</v>
      </c>
      <c r="AD33" s="9">
        <f t="shared" si="4"/>
        <v>0</v>
      </c>
      <c r="AE33" s="13">
        <f t="shared" si="5"/>
        <v>0.95</v>
      </c>
      <c r="AF33" s="13">
        <f t="shared" si="6"/>
        <v>0.95</v>
      </c>
    </row>
    <row r="34" spans="1:32" x14ac:dyDescent="0.3">
      <c r="C34" s="18"/>
      <c r="E34" s="23"/>
      <c r="F34" s="24"/>
      <c r="G34" s="23"/>
      <c r="H34" s="24"/>
      <c r="I34" s="23"/>
      <c r="J34" s="24"/>
      <c r="K34" s="23"/>
      <c r="L34" s="24"/>
      <c r="M34" s="23"/>
      <c r="N34" s="24"/>
      <c r="O34" s="23"/>
      <c r="P34" s="24"/>
      <c r="Q34" s="23"/>
      <c r="R34" s="24"/>
      <c r="S34" s="23"/>
      <c r="T34" s="24"/>
      <c r="U34" s="23"/>
      <c r="V34" s="24"/>
      <c r="W34" s="23"/>
      <c r="X34" s="24"/>
      <c r="Z34" s="6"/>
      <c r="AA34" s="26"/>
      <c r="AB34" s="9"/>
      <c r="AC34" s="9"/>
      <c r="AD34" s="9"/>
      <c r="AE34" s="13"/>
      <c r="AF34" s="13"/>
    </row>
    <row r="35" spans="1:32" x14ac:dyDescent="0.3">
      <c r="C35" s="18"/>
      <c r="E35" s="23"/>
      <c r="F35" s="24"/>
      <c r="G35" s="23"/>
      <c r="H35" s="24"/>
      <c r="I35" s="23"/>
      <c r="J35" s="24"/>
      <c r="K35" s="23"/>
      <c r="L35" s="24"/>
      <c r="M35" s="23"/>
      <c r="N35" s="24"/>
      <c r="O35" s="23"/>
      <c r="P35" s="24"/>
      <c r="Q35" s="23"/>
      <c r="R35" s="24"/>
      <c r="S35" s="23"/>
      <c r="T35" s="24"/>
      <c r="U35" s="23"/>
      <c r="V35" s="24"/>
      <c r="W35" s="23"/>
      <c r="X35" s="24"/>
      <c r="Z35" s="6"/>
      <c r="AA35" s="26"/>
      <c r="AB35" s="9"/>
      <c r="AC35" s="9"/>
      <c r="AD35" s="9"/>
      <c r="AE35" s="13"/>
      <c r="AF35" s="6"/>
    </row>
    <row r="36" spans="1:32" x14ac:dyDescent="0.3">
      <c r="C36" s="18"/>
      <c r="E36" s="23"/>
      <c r="F36" s="24"/>
      <c r="G36" s="23"/>
      <c r="H36" s="24"/>
      <c r="I36" s="23"/>
      <c r="J36" s="24"/>
      <c r="K36" s="23"/>
      <c r="L36" s="24"/>
      <c r="M36" s="23"/>
      <c r="N36" s="24"/>
      <c r="O36" s="23"/>
      <c r="P36" s="24"/>
      <c r="Q36" s="23"/>
      <c r="R36" s="24"/>
      <c r="S36" s="23"/>
      <c r="T36" s="24"/>
      <c r="U36" s="23"/>
      <c r="V36" s="24"/>
      <c r="W36" s="23"/>
      <c r="X36" s="24"/>
      <c r="Z36" s="6"/>
      <c r="AA36" s="26"/>
      <c r="AB36" s="9"/>
      <c r="AC36" s="9"/>
      <c r="AD36" s="9"/>
      <c r="AE36" s="13"/>
      <c r="AF36" s="13"/>
    </row>
    <row r="37" spans="1:32" x14ac:dyDescent="0.3">
      <c r="C37" s="18"/>
      <c r="E37" s="23"/>
      <c r="F37" s="24"/>
      <c r="G37" s="23"/>
      <c r="H37" s="24"/>
      <c r="I37" s="23"/>
      <c r="J37" s="24"/>
      <c r="K37" s="23"/>
      <c r="L37" s="24"/>
      <c r="M37" s="23"/>
      <c r="N37" s="24"/>
      <c r="O37" s="23"/>
      <c r="P37" s="24"/>
      <c r="Q37" s="23"/>
      <c r="R37" s="24"/>
      <c r="S37" s="23"/>
      <c r="T37" s="24"/>
      <c r="U37" s="23"/>
      <c r="V37" s="24"/>
      <c r="W37" s="23"/>
      <c r="X37" s="24"/>
      <c r="Z37" s="6"/>
      <c r="AA37" s="26"/>
      <c r="AB37" s="9"/>
      <c r="AC37" s="9"/>
      <c r="AD37" s="9"/>
      <c r="AE37" s="13"/>
      <c r="AF37" s="13"/>
    </row>
    <row r="38" spans="1:32" x14ac:dyDescent="0.3">
      <c r="C38" s="18"/>
      <c r="E38" s="23"/>
      <c r="F38" s="24"/>
      <c r="G38" s="23"/>
      <c r="H38" s="24"/>
      <c r="I38" s="23"/>
      <c r="J38" s="24"/>
      <c r="K38" s="23"/>
      <c r="L38" s="24"/>
      <c r="M38" s="23"/>
      <c r="N38" s="24"/>
      <c r="O38" s="23"/>
      <c r="P38" s="24"/>
      <c r="Q38" s="23"/>
      <c r="R38" s="24"/>
      <c r="S38" s="23"/>
      <c r="T38" s="24"/>
      <c r="U38" s="23"/>
      <c r="V38" s="24"/>
      <c r="W38" s="23"/>
      <c r="X38" s="24"/>
      <c r="Z38" s="6"/>
      <c r="AA38" s="26"/>
      <c r="AB38" s="9"/>
      <c r="AC38" s="9"/>
      <c r="AD38" s="9"/>
      <c r="AE38" s="13"/>
      <c r="AF38" s="6"/>
    </row>
    <row r="40" spans="1:32" x14ac:dyDescent="0.3">
      <c r="C40" s="11" t="s">
        <v>19</v>
      </c>
      <c r="E40" s="7">
        <f>SUM(E41:E44)</f>
        <v>24</v>
      </c>
      <c r="F40" s="7">
        <f t="shared" ref="F40:V40" si="9">SUM(F41:F44)</f>
        <v>24</v>
      </c>
      <c r="G40" s="7">
        <f t="shared" si="9"/>
        <v>24</v>
      </c>
      <c r="H40" s="7">
        <f t="shared" si="9"/>
        <v>24</v>
      </c>
      <c r="I40" s="7">
        <f t="shared" si="9"/>
        <v>24</v>
      </c>
      <c r="J40" s="7">
        <f t="shared" si="9"/>
        <v>24</v>
      </c>
      <c r="K40" s="7">
        <f t="shared" si="9"/>
        <v>24</v>
      </c>
      <c r="L40" s="7">
        <f t="shared" si="9"/>
        <v>24</v>
      </c>
      <c r="M40" s="7">
        <f t="shared" si="9"/>
        <v>25</v>
      </c>
      <c r="N40" s="7">
        <f t="shared" si="9"/>
        <v>25</v>
      </c>
      <c r="O40" s="7">
        <f t="shared" si="9"/>
        <v>25</v>
      </c>
      <c r="P40" s="7">
        <f t="shared" si="9"/>
        <v>25</v>
      </c>
      <c r="Q40" s="7">
        <f t="shared" si="9"/>
        <v>25</v>
      </c>
      <c r="R40" s="7">
        <f t="shared" si="9"/>
        <v>25</v>
      </c>
      <c r="S40" s="7">
        <f t="shared" si="9"/>
        <v>22</v>
      </c>
      <c r="T40" s="7">
        <f t="shared" si="9"/>
        <v>25</v>
      </c>
      <c r="U40" s="7">
        <f t="shared" si="9"/>
        <v>27</v>
      </c>
      <c r="V40" s="7">
        <f t="shared" si="9"/>
        <v>27</v>
      </c>
      <c r="W40" s="7">
        <f>SUM(W41:W44)</f>
        <v>28</v>
      </c>
      <c r="X40" s="7">
        <f t="shared" ref="X40" si="10">SUM(X41:X44)</f>
        <v>28</v>
      </c>
      <c r="Z40" s="10"/>
    </row>
    <row r="41" spans="1:32" x14ac:dyDescent="0.3">
      <c r="C41" s="11" t="s">
        <v>15</v>
      </c>
      <c r="E41" s="19">
        <f t="shared" ref="E41:X41" si="11">COUNTIF(E4:E38,"P")</f>
        <v>15</v>
      </c>
      <c r="F41" s="19">
        <f t="shared" si="11"/>
        <v>17</v>
      </c>
      <c r="G41" s="19">
        <f t="shared" si="11"/>
        <v>12</v>
      </c>
      <c r="H41" s="19">
        <f t="shared" si="11"/>
        <v>12</v>
      </c>
      <c r="I41" s="19">
        <f t="shared" si="11"/>
        <v>12</v>
      </c>
      <c r="J41" s="19">
        <f t="shared" si="11"/>
        <v>14</v>
      </c>
      <c r="K41" s="19">
        <f t="shared" si="11"/>
        <v>12</v>
      </c>
      <c r="L41" s="19">
        <f t="shared" si="11"/>
        <v>19</v>
      </c>
      <c r="M41" s="19">
        <f t="shared" si="11"/>
        <v>17</v>
      </c>
      <c r="N41" s="19">
        <f t="shared" si="11"/>
        <v>14</v>
      </c>
      <c r="O41" s="19">
        <f t="shared" si="11"/>
        <v>12</v>
      </c>
      <c r="P41" s="19">
        <f t="shared" si="11"/>
        <v>15</v>
      </c>
      <c r="Q41" s="19">
        <f t="shared" si="11"/>
        <v>12</v>
      </c>
      <c r="R41" s="19">
        <f t="shared" si="11"/>
        <v>15</v>
      </c>
      <c r="S41" s="19">
        <f t="shared" si="11"/>
        <v>16</v>
      </c>
      <c r="T41" s="19">
        <f t="shared" si="11"/>
        <v>20</v>
      </c>
      <c r="U41" s="19">
        <f t="shared" si="11"/>
        <v>16</v>
      </c>
      <c r="V41" s="19">
        <f t="shared" si="11"/>
        <v>14</v>
      </c>
      <c r="W41" s="19">
        <f t="shared" si="11"/>
        <v>17</v>
      </c>
      <c r="X41" s="19">
        <f t="shared" si="11"/>
        <v>22</v>
      </c>
      <c r="Z41" s="10"/>
      <c r="AB41" s="29"/>
      <c r="AC41" s="29"/>
    </row>
    <row r="42" spans="1:32" x14ac:dyDescent="0.3">
      <c r="C42" s="11" t="s">
        <v>17</v>
      </c>
      <c r="E42" s="7">
        <f t="shared" ref="E42:X42" si="12">COUNTIF(E4:E38,"A")</f>
        <v>1</v>
      </c>
      <c r="F42" s="7">
        <f t="shared" si="12"/>
        <v>1</v>
      </c>
      <c r="G42" s="7">
        <f t="shared" si="12"/>
        <v>1</v>
      </c>
      <c r="H42" s="7">
        <f t="shared" si="12"/>
        <v>1</v>
      </c>
      <c r="I42" s="7">
        <f t="shared" si="12"/>
        <v>1</v>
      </c>
      <c r="J42" s="7">
        <f t="shared" si="12"/>
        <v>1</v>
      </c>
      <c r="K42" s="7">
        <f t="shared" si="12"/>
        <v>2</v>
      </c>
      <c r="L42" s="7">
        <f t="shared" si="12"/>
        <v>0</v>
      </c>
      <c r="M42" s="7">
        <f t="shared" si="12"/>
        <v>3</v>
      </c>
      <c r="N42" s="7">
        <f t="shared" si="12"/>
        <v>0</v>
      </c>
      <c r="O42" s="7">
        <f t="shared" si="12"/>
        <v>2</v>
      </c>
      <c r="P42" s="7">
        <f t="shared" si="12"/>
        <v>3</v>
      </c>
      <c r="Q42" s="7">
        <f t="shared" si="12"/>
        <v>3</v>
      </c>
      <c r="R42" s="7">
        <f t="shared" si="12"/>
        <v>3</v>
      </c>
      <c r="S42" s="7">
        <f t="shared" si="12"/>
        <v>3</v>
      </c>
      <c r="T42" s="7">
        <f t="shared" si="12"/>
        <v>3</v>
      </c>
      <c r="U42" s="7">
        <f t="shared" si="12"/>
        <v>3</v>
      </c>
      <c r="V42" s="7">
        <f t="shared" si="12"/>
        <v>1</v>
      </c>
      <c r="W42" s="7">
        <f t="shared" si="12"/>
        <v>1</v>
      </c>
      <c r="X42" s="7">
        <f t="shared" si="12"/>
        <v>0</v>
      </c>
      <c r="Z42" s="10"/>
      <c r="AB42" s="29"/>
    </row>
    <row r="43" spans="1:32" x14ac:dyDescent="0.3">
      <c r="C43" s="11" t="s">
        <v>16</v>
      </c>
      <c r="E43" s="7">
        <f t="shared" ref="E43:X43" si="13">COUNTIF(E4:E38,"E")</f>
        <v>8</v>
      </c>
      <c r="F43" s="7">
        <f t="shared" si="13"/>
        <v>6</v>
      </c>
      <c r="G43" s="7">
        <f t="shared" si="13"/>
        <v>11</v>
      </c>
      <c r="H43" s="7">
        <f t="shared" si="13"/>
        <v>11</v>
      </c>
      <c r="I43" s="7">
        <f t="shared" si="13"/>
        <v>11</v>
      </c>
      <c r="J43" s="7">
        <f t="shared" si="13"/>
        <v>9</v>
      </c>
      <c r="K43" s="7">
        <f t="shared" si="13"/>
        <v>10</v>
      </c>
      <c r="L43" s="7">
        <f t="shared" si="13"/>
        <v>5</v>
      </c>
      <c r="M43" s="7">
        <f t="shared" si="13"/>
        <v>5</v>
      </c>
      <c r="N43" s="7">
        <f t="shared" si="13"/>
        <v>11</v>
      </c>
      <c r="O43" s="7">
        <f t="shared" si="13"/>
        <v>11</v>
      </c>
      <c r="P43" s="7">
        <f t="shared" si="13"/>
        <v>7</v>
      </c>
      <c r="Q43" s="7">
        <f t="shared" si="13"/>
        <v>10</v>
      </c>
      <c r="R43" s="7">
        <f t="shared" si="13"/>
        <v>7</v>
      </c>
      <c r="S43" s="7">
        <f t="shared" si="13"/>
        <v>3</v>
      </c>
      <c r="T43" s="7">
        <f t="shared" si="13"/>
        <v>2</v>
      </c>
      <c r="U43" s="7">
        <f t="shared" si="13"/>
        <v>8</v>
      </c>
      <c r="V43" s="7">
        <f t="shared" si="13"/>
        <v>12</v>
      </c>
      <c r="W43" s="7">
        <f t="shared" si="13"/>
        <v>10</v>
      </c>
      <c r="X43" s="7">
        <f t="shared" si="13"/>
        <v>6</v>
      </c>
      <c r="Z43" s="10"/>
      <c r="AB43" s="29"/>
    </row>
    <row r="44" spans="1:32" x14ac:dyDescent="0.3">
      <c r="C44" s="11" t="s">
        <v>18</v>
      </c>
      <c r="E44" s="7">
        <f t="shared" ref="E44:X44" si="14">COUNTIF(E4:E38,"Disp")</f>
        <v>0</v>
      </c>
      <c r="F44" s="7">
        <f t="shared" si="14"/>
        <v>0</v>
      </c>
      <c r="G44" s="7">
        <f t="shared" si="14"/>
        <v>0</v>
      </c>
      <c r="H44" s="7">
        <f t="shared" si="14"/>
        <v>0</v>
      </c>
      <c r="I44" s="7">
        <f t="shared" si="14"/>
        <v>0</v>
      </c>
      <c r="J44" s="7">
        <f t="shared" si="14"/>
        <v>0</v>
      </c>
      <c r="K44" s="7">
        <f t="shared" si="14"/>
        <v>0</v>
      </c>
      <c r="L44" s="7">
        <f t="shared" si="14"/>
        <v>0</v>
      </c>
      <c r="M44" s="7">
        <f t="shared" si="14"/>
        <v>0</v>
      </c>
      <c r="N44" s="7">
        <f t="shared" si="14"/>
        <v>0</v>
      </c>
      <c r="O44" s="7">
        <f t="shared" si="14"/>
        <v>0</v>
      </c>
      <c r="P44" s="7">
        <f t="shared" si="14"/>
        <v>0</v>
      </c>
      <c r="Q44" s="7">
        <f t="shared" si="14"/>
        <v>0</v>
      </c>
      <c r="R44" s="7">
        <f t="shared" si="14"/>
        <v>0</v>
      </c>
      <c r="S44" s="7">
        <f t="shared" si="14"/>
        <v>0</v>
      </c>
      <c r="T44" s="7">
        <f t="shared" si="14"/>
        <v>0</v>
      </c>
      <c r="U44" s="7">
        <f t="shared" si="14"/>
        <v>0</v>
      </c>
      <c r="V44" s="7">
        <f t="shared" si="14"/>
        <v>0</v>
      </c>
      <c r="W44" s="7">
        <f t="shared" si="14"/>
        <v>0</v>
      </c>
      <c r="X44" s="7">
        <f t="shared" si="14"/>
        <v>0</v>
      </c>
      <c r="Z44" s="10"/>
      <c r="AB44" s="29"/>
    </row>
    <row r="46" spans="1:32" x14ac:dyDescent="0.3">
      <c r="C46" s="12" t="s">
        <v>20</v>
      </c>
      <c r="E46" s="25">
        <f>IF(E40=0,"",E41/E40)</f>
        <v>0.625</v>
      </c>
      <c r="F46" s="25">
        <f t="shared" ref="F46:X46" si="15">IF(F40=0,"",F41/F40)</f>
        <v>0.70833333333333337</v>
      </c>
      <c r="G46" s="25">
        <f t="shared" si="15"/>
        <v>0.5</v>
      </c>
      <c r="H46" s="25">
        <f t="shared" si="15"/>
        <v>0.5</v>
      </c>
      <c r="I46" s="25">
        <f t="shared" si="15"/>
        <v>0.5</v>
      </c>
      <c r="J46" s="25">
        <f t="shared" si="15"/>
        <v>0.58333333333333337</v>
      </c>
      <c r="K46" s="25">
        <f t="shared" si="15"/>
        <v>0.5</v>
      </c>
      <c r="L46" s="25">
        <f t="shared" si="15"/>
        <v>0.79166666666666663</v>
      </c>
      <c r="M46" s="25">
        <f t="shared" si="15"/>
        <v>0.68</v>
      </c>
      <c r="N46" s="25">
        <f t="shared" si="15"/>
        <v>0.56000000000000005</v>
      </c>
      <c r="O46" s="25">
        <f t="shared" si="15"/>
        <v>0.48</v>
      </c>
      <c r="P46" s="25">
        <f t="shared" si="15"/>
        <v>0.6</v>
      </c>
      <c r="Q46" s="25">
        <f t="shared" si="15"/>
        <v>0.48</v>
      </c>
      <c r="R46" s="25">
        <f t="shared" si="15"/>
        <v>0.6</v>
      </c>
      <c r="S46" s="25">
        <f t="shared" si="15"/>
        <v>0.72727272727272729</v>
      </c>
      <c r="T46" s="25">
        <f t="shared" si="15"/>
        <v>0.8</v>
      </c>
      <c r="U46" s="25">
        <f t="shared" si="15"/>
        <v>0.59259259259259256</v>
      </c>
      <c r="V46" s="25">
        <f t="shared" si="15"/>
        <v>0.51851851851851849</v>
      </c>
      <c r="W46" s="25">
        <f t="shared" si="15"/>
        <v>0.6071428571428571</v>
      </c>
      <c r="X46" s="25">
        <f t="shared" si="15"/>
        <v>0.7857142857142857</v>
      </c>
    </row>
    <row r="47" spans="1:32" x14ac:dyDescent="0.3">
      <c r="C47" s="12" t="s">
        <v>22</v>
      </c>
      <c r="E47" s="25">
        <f>IF(E40=0,"",E42/E40)</f>
        <v>4.1666666666666664E-2</v>
      </c>
      <c r="F47" s="25">
        <f t="shared" ref="F47:X47" si="16">IF(F40=0,"",F42/F40)</f>
        <v>4.1666666666666664E-2</v>
      </c>
      <c r="G47" s="25">
        <f t="shared" si="16"/>
        <v>4.1666666666666664E-2</v>
      </c>
      <c r="H47" s="25">
        <f t="shared" si="16"/>
        <v>4.1666666666666664E-2</v>
      </c>
      <c r="I47" s="25">
        <f t="shared" si="16"/>
        <v>4.1666666666666664E-2</v>
      </c>
      <c r="J47" s="25">
        <f t="shared" si="16"/>
        <v>4.1666666666666664E-2</v>
      </c>
      <c r="K47" s="25">
        <f t="shared" si="16"/>
        <v>8.3333333333333329E-2</v>
      </c>
      <c r="L47" s="25">
        <f t="shared" si="16"/>
        <v>0</v>
      </c>
      <c r="M47" s="25">
        <f t="shared" si="16"/>
        <v>0.12</v>
      </c>
      <c r="N47" s="25">
        <f t="shared" si="16"/>
        <v>0</v>
      </c>
      <c r="O47" s="25">
        <f t="shared" si="16"/>
        <v>0.08</v>
      </c>
      <c r="P47" s="25">
        <f t="shared" si="16"/>
        <v>0.12</v>
      </c>
      <c r="Q47" s="25">
        <f t="shared" si="16"/>
        <v>0.12</v>
      </c>
      <c r="R47" s="25">
        <f t="shared" si="16"/>
        <v>0.12</v>
      </c>
      <c r="S47" s="25">
        <f t="shared" si="16"/>
        <v>0.13636363636363635</v>
      </c>
      <c r="T47" s="25">
        <f t="shared" si="16"/>
        <v>0.12</v>
      </c>
      <c r="U47" s="25">
        <f t="shared" si="16"/>
        <v>0.1111111111111111</v>
      </c>
      <c r="V47" s="25">
        <f t="shared" si="16"/>
        <v>3.7037037037037035E-2</v>
      </c>
      <c r="W47" s="25">
        <f t="shared" si="16"/>
        <v>3.5714285714285712E-2</v>
      </c>
      <c r="X47" s="25">
        <f t="shared" si="16"/>
        <v>0</v>
      </c>
    </row>
    <row r="48" spans="1:32" x14ac:dyDescent="0.3">
      <c r="C48" s="12" t="s">
        <v>23</v>
      </c>
      <c r="E48" s="25">
        <f>IF(E40=0,"",E43/E40)</f>
        <v>0.33333333333333331</v>
      </c>
      <c r="F48" s="25">
        <f t="shared" ref="F48:X48" si="17">IF(F40=0,"",F43/F40)</f>
        <v>0.25</v>
      </c>
      <c r="G48" s="25">
        <f t="shared" si="17"/>
        <v>0.45833333333333331</v>
      </c>
      <c r="H48" s="25">
        <f t="shared" si="17"/>
        <v>0.45833333333333331</v>
      </c>
      <c r="I48" s="25">
        <f t="shared" si="17"/>
        <v>0.45833333333333331</v>
      </c>
      <c r="J48" s="25">
        <f t="shared" si="17"/>
        <v>0.375</v>
      </c>
      <c r="K48" s="25">
        <f t="shared" si="17"/>
        <v>0.41666666666666669</v>
      </c>
      <c r="L48" s="25">
        <f t="shared" si="17"/>
        <v>0.20833333333333334</v>
      </c>
      <c r="M48" s="25">
        <f t="shared" si="17"/>
        <v>0.2</v>
      </c>
      <c r="N48" s="25">
        <f t="shared" si="17"/>
        <v>0.44</v>
      </c>
      <c r="O48" s="25">
        <f t="shared" si="17"/>
        <v>0.44</v>
      </c>
      <c r="P48" s="25">
        <f t="shared" si="17"/>
        <v>0.28000000000000003</v>
      </c>
      <c r="Q48" s="25">
        <f t="shared" si="17"/>
        <v>0.4</v>
      </c>
      <c r="R48" s="25">
        <f t="shared" si="17"/>
        <v>0.28000000000000003</v>
      </c>
      <c r="S48" s="25">
        <f t="shared" si="17"/>
        <v>0.13636363636363635</v>
      </c>
      <c r="T48" s="25">
        <f t="shared" si="17"/>
        <v>0.08</v>
      </c>
      <c r="U48" s="25">
        <f t="shared" si="17"/>
        <v>0.29629629629629628</v>
      </c>
      <c r="V48" s="25">
        <f t="shared" si="17"/>
        <v>0.44444444444444442</v>
      </c>
      <c r="W48" s="25">
        <f t="shared" si="17"/>
        <v>0.35714285714285715</v>
      </c>
      <c r="X48" s="25">
        <f t="shared" si="17"/>
        <v>0.21428571428571427</v>
      </c>
    </row>
    <row r="49" spans="3:24" x14ac:dyDescent="0.3">
      <c r="C49" s="12" t="s">
        <v>21</v>
      </c>
      <c r="E49" s="25">
        <f>IF(E40=0,"",E44/E40)</f>
        <v>0</v>
      </c>
      <c r="F49" s="25">
        <f t="shared" ref="F49:X49" si="18">IF(F40=0,"",F44/F40)</f>
        <v>0</v>
      </c>
      <c r="G49" s="25">
        <f t="shared" si="18"/>
        <v>0</v>
      </c>
      <c r="H49" s="25">
        <f t="shared" si="18"/>
        <v>0</v>
      </c>
      <c r="I49" s="25">
        <f t="shared" si="18"/>
        <v>0</v>
      </c>
      <c r="J49" s="25">
        <f t="shared" si="18"/>
        <v>0</v>
      </c>
      <c r="K49" s="25">
        <f t="shared" si="18"/>
        <v>0</v>
      </c>
      <c r="L49" s="25">
        <f t="shared" si="18"/>
        <v>0</v>
      </c>
      <c r="M49" s="25">
        <f t="shared" si="18"/>
        <v>0</v>
      </c>
      <c r="N49" s="25">
        <f t="shared" si="18"/>
        <v>0</v>
      </c>
      <c r="O49" s="25">
        <f t="shared" si="18"/>
        <v>0</v>
      </c>
      <c r="P49" s="25">
        <f t="shared" si="18"/>
        <v>0</v>
      </c>
      <c r="Q49" s="25">
        <f t="shared" si="18"/>
        <v>0</v>
      </c>
      <c r="R49" s="25">
        <f t="shared" si="18"/>
        <v>0</v>
      </c>
      <c r="S49" s="25">
        <f t="shared" si="18"/>
        <v>0</v>
      </c>
      <c r="T49" s="25">
        <f t="shared" si="18"/>
        <v>0</v>
      </c>
      <c r="U49" s="25">
        <f t="shared" si="18"/>
        <v>0</v>
      </c>
      <c r="V49" s="25">
        <f t="shared" si="18"/>
        <v>0</v>
      </c>
      <c r="W49" s="25">
        <f t="shared" si="18"/>
        <v>0</v>
      </c>
      <c r="X49" s="25">
        <f t="shared" si="18"/>
        <v>0</v>
      </c>
    </row>
    <row r="50" spans="3:24" x14ac:dyDescent="0.3">
      <c r="E50" s="27"/>
      <c r="F50" s="27"/>
      <c r="G50" s="1"/>
      <c r="H50" s="2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3:24" x14ac:dyDescent="0.3">
      <c r="E51" s="27"/>
      <c r="F51" s="27"/>
      <c r="G51" s="1"/>
      <c r="H51" s="2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3:24" x14ac:dyDescent="0.3">
      <c r="C52" s="5" t="s">
        <v>46</v>
      </c>
      <c r="E52" s="28">
        <f>IF(E40=0,"",E41/(E40-E44))</f>
        <v>0.625</v>
      </c>
      <c r="F52" s="28">
        <f t="shared" ref="F52:X52" si="19">IF(F40=0,"",F41/(F40-F44))</f>
        <v>0.70833333333333337</v>
      </c>
      <c r="G52" s="28">
        <f t="shared" si="19"/>
        <v>0.5</v>
      </c>
      <c r="H52" s="28">
        <f t="shared" si="19"/>
        <v>0.5</v>
      </c>
      <c r="I52" s="28">
        <f t="shared" si="19"/>
        <v>0.5</v>
      </c>
      <c r="J52" s="28">
        <f t="shared" si="19"/>
        <v>0.58333333333333337</v>
      </c>
      <c r="K52" s="28">
        <f t="shared" si="19"/>
        <v>0.5</v>
      </c>
      <c r="L52" s="28">
        <f t="shared" si="19"/>
        <v>0.79166666666666663</v>
      </c>
      <c r="M52" s="28">
        <f t="shared" si="19"/>
        <v>0.68</v>
      </c>
      <c r="N52" s="28">
        <f t="shared" si="19"/>
        <v>0.56000000000000005</v>
      </c>
      <c r="O52" s="28">
        <f t="shared" si="19"/>
        <v>0.48</v>
      </c>
      <c r="P52" s="28">
        <f t="shared" si="19"/>
        <v>0.6</v>
      </c>
      <c r="Q52" s="28">
        <f t="shared" si="19"/>
        <v>0.48</v>
      </c>
      <c r="R52" s="28">
        <f t="shared" si="19"/>
        <v>0.6</v>
      </c>
      <c r="S52" s="28">
        <f t="shared" si="19"/>
        <v>0.72727272727272729</v>
      </c>
      <c r="T52" s="28">
        <f t="shared" si="19"/>
        <v>0.8</v>
      </c>
      <c r="U52" s="28">
        <f t="shared" si="19"/>
        <v>0.59259259259259256</v>
      </c>
      <c r="V52" s="28">
        <f t="shared" si="19"/>
        <v>0.51851851851851849</v>
      </c>
      <c r="W52" s="28">
        <f t="shared" si="19"/>
        <v>0.6071428571428571</v>
      </c>
      <c r="X52" s="28">
        <f t="shared" si="19"/>
        <v>0.7857142857142857</v>
      </c>
    </row>
    <row r="53" spans="3:24" x14ac:dyDescent="0.3">
      <c r="C53" s="5" t="s">
        <v>47</v>
      </c>
      <c r="E53" s="28">
        <f>IF(E40=0,"",(E43+E42)/(E40-E44))</f>
        <v>0.375</v>
      </c>
      <c r="F53" s="28">
        <f t="shared" ref="F53:X53" si="20">IF(F40=0,"",(F43+F42)/(F40-F44))</f>
        <v>0.29166666666666669</v>
      </c>
      <c r="G53" s="28">
        <f t="shared" si="20"/>
        <v>0.5</v>
      </c>
      <c r="H53" s="28">
        <f t="shared" si="20"/>
        <v>0.5</v>
      </c>
      <c r="I53" s="28">
        <f t="shared" si="20"/>
        <v>0.5</v>
      </c>
      <c r="J53" s="28">
        <f t="shared" si="20"/>
        <v>0.41666666666666669</v>
      </c>
      <c r="K53" s="28">
        <f t="shared" si="20"/>
        <v>0.5</v>
      </c>
      <c r="L53" s="28">
        <f t="shared" si="20"/>
        <v>0.20833333333333334</v>
      </c>
      <c r="M53" s="28">
        <f t="shared" si="20"/>
        <v>0.32</v>
      </c>
      <c r="N53" s="28">
        <f t="shared" si="20"/>
        <v>0.44</v>
      </c>
      <c r="O53" s="28">
        <f t="shared" si="20"/>
        <v>0.52</v>
      </c>
      <c r="P53" s="28">
        <f t="shared" si="20"/>
        <v>0.4</v>
      </c>
      <c r="Q53" s="28">
        <f t="shared" si="20"/>
        <v>0.52</v>
      </c>
      <c r="R53" s="28">
        <f t="shared" si="20"/>
        <v>0.4</v>
      </c>
      <c r="S53" s="28">
        <f t="shared" si="20"/>
        <v>0.27272727272727271</v>
      </c>
      <c r="T53" s="28">
        <f t="shared" si="20"/>
        <v>0.2</v>
      </c>
      <c r="U53" s="28">
        <f t="shared" si="20"/>
        <v>0.40740740740740738</v>
      </c>
      <c r="V53" s="28">
        <f t="shared" si="20"/>
        <v>0.48148148148148145</v>
      </c>
      <c r="W53" s="28">
        <f t="shared" si="20"/>
        <v>0.39285714285714285</v>
      </c>
      <c r="X53" s="28">
        <f t="shared" si="20"/>
        <v>0.21428571428571427</v>
      </c>
    </row>
    <row r="55" spans="3:24" x14ac:dyDescent="0.3">
      <c r="C55" t="s">
        <v>30</v>
      </c>
      <c r="D55" s="10">
        <f>COUNTIF(D4:D37,"App∴ ")</f>
        <v>5</v>
      </c>
    </row>
    <row r="56" spans="3:24" x14ac:dyDescent="0.3">
      <c r="C56" t="s">
        <v>31</v>
      </c>
      <c r="D56" s="10">
        <f>COUNTIF(D4:D38,"Comp∴ ")</f>
        <v>1</v>
      </c>
    </row>
    <row r="57" spans="3:24" x14ac:dyDescent="0.3">
      <c r="C57" t="s">
        <v>32</v>
      </c>
      <c r="D57" s="10">
        <f>COUNTIF(D5:D39,"M∴ ")</f>
        <v>23</v>
      </c>
    </row>
  </sheetData>
  <dataValidations count="2">
    <dataValidation type="list" allowBlank="1" showInputMessage="1" showErrorMessage="1" sqref="D4:D40 E3:X3" xr:uid="{CCB7E9FC-C611-41FC-BF58-1533C90F952D}">
      <formula1>"App∴ ,Comp∴ ,M∴ "</formula1>
    </dataValidation>
    <dataValidation type="list" allowBlank="1" showInputMessage="1" showErrorMessage="1" sqref="E4:X38" xr:uid="{3286F152-0372-482A-92B6-14DA80E6BA01}">
      <formula1>"P,E,A,Disp"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8"/>
  <sheetViews>
    <sheetView zoomScale="60" zoomScaleNormal="60" workbookViewId="0">
      <pane xSplit="4" ySplit="3" topLeftCell="R4" activePane="bottomRight" state="frozen"/>
      <selection pane="topRight" activeCell="E1" sqref="E1"/>
      <selection pane="bottomLeft" activeCell="A4" sqref="A4"/>
      <selection pane="bottomRight" activeCell="AM17" sqref="AM17"/>
    </sheetView>
  </sheetViews>
  <sheetFormatPr baseColWidth="10" defaultColWidth="11" defaultRowHeight="15.6" x14ac:dyDescent="0.3"/>
  <cols>
    <col min="1" max="1" width="8.69921875" bestFit="1" customWidth="1"/>
    <col min="2" max="2" width="5.19921875" customWidth="1"/>
    <col min="3" max="3" width="30.09765625" bestFit="1" customWidth="1"/>
    <col min="4" max="4" width="8.3984375" style="10" customWidth="1"/>
    <col min="5" max="6" width="7.59765625" bestFit="1" customWidth="1"/>
    <col min="7" max="7" width="8.5" bestFit="1" customWidth="1"/>
    <col min="8" max="12" width="7.59765625" bestFit="1" customWidth="1"/>
    <col min="13" max="13" width="9" customWidth="1"/>
    <col min="14" max="23" width="8.3984375" bestFit="1" customWidth="1"/>
    <col min="24" max="25" width="8.3984375" customWidth="1"/>
    <col min="26" max="26" width="8.3984375" bestFit="1" customWidth="1"/>
    <col min="27" max="27" width="4.3984375" customWidth="1"/>
    <col min="28" max="28" width="9.5" bestFit="1" customWidth="1"/>
    <col min="29" max="29" width="12.3984375" customWidth="1"/>
    <col min="30" max="30" width="9.3984375" bestFit="1" customWidth="1"/>
    <col min="31" max="31" width="8.09765625" bestFit="1" customWidth="1"/>
    <col min="32" max="32" width="9.8984375" bestFit="1" customWidth="1"/>
    <col min="34" max="34" width="11" style="10"/>
    <col min="37" max="37" width="7.3984375" bestFit="1" customWidth="1"/>
  </cols>
  <sheetData>
    <row r="1" spans="1:37" ht="54" thickBot="1" x14ac:dyDescent="0.9">
      <c r="E1" s="14">
        <v>45540</v>
      </c>
      <c r="F1" s="15">
        <v>45553</v>
      </c>
      <c r="G1" s="14">
        <v>45568</v>
      </c>
      <c r="H1" s="15">
        <v>45581</v>
      </c>
      <c r="I1" s="14">
        <v>45603</v>
      </c>
      <c r="J1" s="15">
        <v>45616</v>
      </c>
      <c r="K1" s="14">
        <v>45631</v>
      </c>
      <c r="L1" s="15">
        <v>45644</v>
      </c>
      <c r="M1" s="14">
        <v>45659</v>
      </c>
      <c r="N1" s="15">
        <v>45672</v>
      </c>
      <c r="O1" s="14">
        <v>45694</v>
      </c>
      <c r="P1" s="15">
        <v>45707</v>
      </c>
      <c r="Q1" s="14">
        <v>45722</v>
      </c>
      <c r="R1" s="15">
        <v>45735</v>
      </c>
      <c r="S1" s="14">
        <v>45750</v>
      </c>
      <c r="T1" s="15">
        <v>45763</v>
      </c>
      <c r="U1" s="14">
        <v>45778</v>
      </c>
      <c r="V1" s="16">
        <v>45798</v>
      </c>
      <c r="W1" s="14">
        <v>45813</v>
      </c>
      <c r="X1" s="16">
        <v>45826</v>
      </c>
      <c r="Y1" s="16">
        <v>45829</v>
      </c>
      <c r="Z1" s="15">
        <v>45829</v>
      </c>
      <c r="AB1" t="s">
        <v>24</v>
      </c>
      <c r="AC1" s="3">
        <f>COUNTIF(E2:Z2,"X")</f>
        <v>22</v>
      </c>
      <c r="AH1" s="10" t="s">
        <v>37</v>
      </c>
    </row>
    <row r="2" spans="1:37" ht="18" x14ac:dyDescent="0.3">
      <c r="A2" t="s">
        <v>34</v>
      </c>
      <c r="B2" t="s">
        <v>10</v>
      </c>
      <c r="C2" s="2" t="s">
        <v>5</v>
      </c>
      <c r="D2" s="10" t="s">
        <v>29</v>
      </c>
      <c r="E2" s="20" t="s">
        <v>41</v>
      </c>
      <c r="F2" s="20" t="s">
        <v>41</v>
      </c>
      <c r="G2" s="20" t="s">
        <v>41</v>
      </c>
      <c r="H2" s="20" t="s">
        <v>41</v>
      </c>
      <c r="I2" s="20" t="s">
        <v>41</v>
      </c>
      <c r="J2" s="20" t="s">
        <v>41</v>
      </c>
      <c r="K2" s="20" t="s">
        <v>41</v>
      </c>
      <c r="L2" s="20" t="s">
        <v>41</v>
      </c>
      <c r="M2" s="20" t="s">
        <v>41</v>
      </c>
      <c r="N2" s="20" t="s">
        <v>41</v>
      </c>
      <c r="O2" s="20" t="s">
        <v>41</v>
      </c>
      <c r="P2" s="20" t="s">
        <v>41</v>
      </c>
      <c r="Q2" s="20" t="s">
        <v>41</v>
      </c>
      <c r="R2" s="20" t="s">
        <v>41</v>
      </c>
      <c r="S2" s="20" t="s">
        <v>41</v>
      </c>
      <c r="T2" s="20" t="s">
        <v>41</v>
      </c>
      <c r="U2" s="20" t="s">
        <v>41</v>
      </c>
      <c r="V2" s="20" t="s">
        <v>41</v>
      </c>
      <c r="W2" s="20" t="s">
        <v>78</v>
      </c>
      <c r="X2" s="20" t="s">
        <v>78</v>
      </c>
      <c r="Y2" s="20" t="s">
        <v>78</v>
      </c>
      <c r="Z2" s="20" t="s">
        <v>78</v>
      </c>
      <c r="AB2">
        <f>COUNTIF(E2:Z2,"X")</f>
        <v>22</v>
      </c>
      <c r="AC2" t="s">
        <v>25</v>
      </c>
      <c r="AD2" t="s">
        <v>26</v>
      </c>
      <c r="AE2" t="s">
        <v>27</v>
      </c>
      <c r="AF2" t="s">
        <v>28</v>
      </c>
      <c r="AG2" t="s">
        <v>33</v>
      </c>
      <c r="AK2" t="s">
        <v>6</v>
      </c>
    </row>
    <row r="3" spans="1:37" ht="16.2" thickBot="1" x14ac:dyDescent="0.35">
      <c r="C3" s="2" t="s">
        <v>11</v>
      </c>
      <c r="E3" s="10" t="s">
        <v>12</v>
      </c>
      <c r="F3" s="10" t="s">
        <v>12</v>
      </c>
      <c r="G3" s="10" t="s">
        <v>12</v>
      </c>
      <c r="H3" s="10" t="s">
        <v>12</v>
      </c>
      <c r="I3" s="10" t="s">
        <v>12</v>
      </c>
      <c r="J3" s="10" t="s">
        <v>12</v>
      </c>
      <c r="K3" s="10" t="s">
        <v>12</v>
      </c>
      <c r="L3" s="10" t="s">
        <v>12</v>
      </c>
      <c r="M3" s="10" t="s">
        <v>12</v>
      </c>
      <c r="N3" s="10" t="s">
        <v>12</v>
      </c>
      <c r="O3" s="10" t="s">
        <v>12</v>
      </c>
      <c r="P3" s="10" t="s">
        <v>12</v>
      </c>
      <c r="Q3" s="10" t="s">
        <v>12</v>
      </c>
      <c r="R3" s="10" t="s">
        <v>12</v>
      </c>
      <c r="S3" s="10" t="s">
        <v>12</v>
      </c>
      <c r="T3" s="10" t="s">
        <v>12</v>
      </c>
      <c r="U3" s="10" t="s">
        <v>12</v>
      </c>
      <c r="V3" s="10" t="s">
        <v>12</v>
      </c>
      <c r="W3" s="10" t="s">
        <v>12</v>
      </c>
      <c r="X3" s="10" t="s">
        <v>14</v>
      </c>
      <c r="Y3" s="10" t="s">
        <v>14</v>
      </c>
      <c r="Z3" s="10" t="s">
        <v>12</v>
      </c>
    </row>
    <row r="4" spans="1:37" x14ac:dyDescent="0.3">
      <c r="C4" s="17" t="s">
        <v>48</v>
      </c>
      <c r="D4" s="10" t="s">
        <v>13</v>
      </c>
      <c r="E4" s="21" t="s">
        <v>74</v>
      </c>
      <c r="F4" s="22" t="s">
        <v>74</v>
      </c>
      <c r="G4" s="21" t="s">
        <v>39</v>
      </c>
      <c r="H4" s="22" t="s">
        <v>40</v>
      </c>
      <c r="I4" s="21" t="s">
        <v>74</v>
      </c>
      <c r="J4" s="22" t="s">
        <v>39</v>
      </c>
      <c r="K4" s="21" t="s">
        <v>74</v>
      </c>
      <c r="L4" s="22" t="s">
        <v>74</v>
      </c>
      <c r="M4" s="21" t="s">
        <v>74</v>
      </c>
      <c r="N4" s="22" t="s">
        <v>74</v>
      </c>
      <c r="O4" s="21" t="s">
        <v>39</v>
      </c>
      <c r="P4" s="22" t="s">
        <v>74</v>
      </c>
      <c r="Q4" s="21" t="s">
        <v>74</v>
      </c>
      <c r="R4" s="22" t="s">
        <v>40</v>
      </c>
      <c r="S4" s="21" t="s">
        <v>74</v>
      </c>
      <c r="T4" s="22" t="s">
        <v>74</v>
      </c>
      <c r="U4" s="21" t="s">
        <v>74</v>
      </c>
      <c r="V4" s="22" t="s">
        <v>74</v>
      </c>
      <c r="W4" s="21" t="s">
        <v>40</v>
      </c>
      <c r="X4" s="35" t="s">
        <v>40</v>
      </c>
      <c r="Y4" s="30" t="s">
        <v>40</v>
      </c>
      <c r="Z4" s="22" t="s">
        <v>40</v>
      </c>
      <c r="AB4" s="6">
        <f>COUNTA(E4:Z4)</f>
        <v>22</v>
      </c>
      <c r="AC4" s="26">
        <f>COUNTIF($E4:$Z4,"P")/AB4</f>
        <v>0.13636363636363635</v>
      </c>
      <c r="AD4" s="9">
        <f>COUNTIF($E4:$Z4,"A")/AB4</f>
        <v>0.59090909090909094</v>
      </c>
      <c r="AE4" s="9">
        <f>COUNTIF($E4:$Z4,"E")/AB4</f>
        <v>0.27272727272727271</v>
      </c>
      <c r="AF4" s="9">
        <f t="shared" ref="AF4:AF34" si="0">IF(B4&lt;&gt;"OUI",COUNTIF($E4:$Z4,"Disp")/AB4,1)</f>
        <v>0</v>
      </c>
      <c r="AG4" s="13">
        <f>AD4+AE4</f>
        <v>0.86363636363636365</v>
      </c>
      <c r="AH4" s="13"/>
      <c r="AK4" t="s">
        <v>7</v>
      </c>
    </row>
    <row r="5" spans="1:37" x14ac:dyDescent="0.3">
      <c r="A5" s="4" t="s">
        <v>36</v>
      </c>
      <c r="C5" s="18" t="s">
        <v>0</v>
      </c>
      <c r="D5" s="10" t="s">
        <v>13</v>
      </c>
      <c r="E5" s="23" t="s">
        <v>39</v>
      </c>
      <c r="F5" s="24" t="s">
        <v>39</v>
      </c>
      <c r="G5" s="23" t="s">
        <v>39</v>
      </c>
      <c r="H5" s="24" t="s">
        <v>39</v>
      </c>
      <c r="I5" s="23" t="s">
        <v>39</v>
      </c>
      <c r="J5" s="24" t="s">
        <v>39</v>
      </c>
      <c r="K5" s="23" t="s">
        <v>39</v>
      </c>
      <c r="L5" s="24" t="s">
        <v>39</v>
      </c>
      <c r="M5" s="23" t="s">
        <v>39</v>
      </c>
      <c r="N5" s="24" t="s">
        <v>39</v>
      </c>
      <c r="O5" s="23" t="s">
        <v>39</v>
      </c>
      <c r="P5" s="24" t="s">
        <v>39</v>
      </c>
      <c r="Q5" s="23" t="s">
        <v>39</v>
      </c>
      <c r="R5" s="24" t="s">
        <v>39</v>
      </c>
      <c r="S5" s="23" t="s">
        <v>39</v>
      </c>
      <c r="T5" s="24" t="s">
        <v>39</v>
      </c>
      <c r="U5" s="23" t="s">
        <v>39</v>
      </c>
      <c r="V5" s="24" t="s">
        <v>39</v>
      </c>
      <c r="W5" s="23" t="s">
        <v>39</v>
      </c>
      <c r="X5" s="6" t="s">
        <v>39</v>
      </c>
      <c r="Y5" s="31" t="s">
        <v>39</v>
      </c>
      <c r="Z5" s="24" t="s">
        <v>39</v>
      </c>
      <c r="AB5" s="6">
        <f t="shared" ref="AB5:AB34" si="1">COUNTA(E5:Z5)</f>
        <v>22</v>
      </c>
      <c r="AC5" s="26">
        <f t="shared" ref="AC5:AC34" si="2">COUNTIF($E5:$Z5,"P")/AB5</f>
        <v>1</v>
      </c>
      <c r="AD5" s="9">
        <f t="shared" ref="AD5:AD34" si="3">COUNTIF($E5:$Z5,"A")/AB5</f>
        <v>0</v>
      </c>
      <c r="AE5" s="9">
        <f t="shared" ref="AE5:AE34" si="4">COUNTIF($E5:$Z5,"E")/AB5</f>
        <v>0</v>
      </c>
      <c r="AF5" s="9">
        <f t="shared" si="0"/>
        <v>0</v>
      </c>
      <c r="AG5" s="13">
        <f t="shared" ref="AG5:AG34" si="5">AD5+AE5</f>
        <v>0</v>
      </c>
      <c r="AH5" s="13">
        <f t="shared" ref="AH5:AH34" si="6">AG5</f>
        <v>0</v>
      </c>
      <c r="AK5" t="s">
        <v>8</v>
      </c>
    </row>
    <row r="6" spans="1:37" x14ac:dyDescent="0.3">
      <c r="C6" s="18" t="s">
        <v>49</v>
      </c>
      <c r="D6" s="10" t="s">
        <v>13</v>
      </c>
      <c r="E6" s="23" t="s">
        <v>74</v>
      </c>
      <c r="F6" s="24" t="s">
        <v>74</v>
      </c>
      <c r="G6" s="23" t="s">
        <v>74</v>
      </c>
      <c r="H6" s="24" t="s">
        <v>74</v>
      </c>
      <c r="I6" s="23" t="s">
        <v>74</v>
      </c>
      <c r="J6" s="24" t="s">
        <v>40</v>
      </c>
      <c r="K6" s="33"/>
      <c r="L6" s="32"/>
      <c r="M6" s="33"/>
      <c r="N6" s="32"/>
      <c r="O6" s="33"/>
      <c r="P6" s="32"/>
      <c r="Q6" s="33"/>
      <c r="R6" s="32"/>
      <c r="S6" s="33"/>
      <c r="T6" s="32"/>
      <c r="U6" s="33"/>
      <c r="V6" s="32"/>
      <c r="W6" s="33"/>
      <c r="X6" s="36"/>
      <c r="Y6" s="34"/>
      <c r="Z6" s="32"/>
      <c r="AB6" s="6">
        <f t="shared" si="1"/>
        <v>6</v>
      </c>
      <c r="AC6" s="26">
        <f t="shared" si="2"/>
        <v>0</v>
      </c>
      <c r="AD6" s="9">
        <f t="shared" si="3"/>
        <v>0.83333333333333337</v>
      </c>
      <c r="AE6" s="9">
        <f t="shared" si="4"/>
        <v>0.16666666666666666</v>
      </c>
      <c r="AF6" s="9">
        <f t="shared" si="0"/>
        <v>0</v>
      </c>
      <c r="AG6" s="13">
        <f t="shared" si="5"/>
        <v>1</v>
      </c>
      <c r="AH6" s="13"/>
      <c r="AK6" t="s">
        <v>9</v>
      </c>
    </row>
    <row r="7" spans="1:37" x14ac:dyDescent="0.3">
      <c r="A7" s="4" t="s">
        <v>71</v>
      </c>
      <c r="C7" s="18" t="s">
        <v>50</v>
      </c>
      <c r="D7" s="10" t="s">
        <v>13</v>
      </c>
      <c r="E7" s="23" t="s">
        <v>39</v>
      </c>
      <c r="F7" s="24" t="s">
        <v>39</v>
      </c>
      <c r="G7" s="23" t="s">
        <v>39</v>
      </c>
      <c r="H7" s="24" t="s">
        <v>39</v>
      </c>
      <c r="I7" s="23" t="s">
        <v>39</v>
      </c>
      <c r="J7" s="24" t="s">
        <v>39</v>
      </c>
      <c r="K7" s="23" t="s">
        <v>39</v>
      </c>
      <c r="L7" s="24" t="s">
        <v>39</v>
      </c>
      <c r="M7" s="23" t="s">
        <v>39</v>
      </c>
      <c r="N7" s="24" t="s">
        <v>39</v>
      </c>
      <c r="O7" s="23" t="s">
        <v>40</v>
      </c>
      <c r="P7" s="24" t="s">
        <v>39</v>
      </c>
      <c r="Q7" s="23" t="s">
        <v>39</v>
      </c>
      <c r="R7" s="24" t="s">
        <v>39</v>
      </c>
      <c r="S7" s="23" t="s">
        <v>39</v>
      </c>
      <c r="T7" s="24" t="s">
        <v>40</v>
      </c>
      <c r="U7" s="23" t="s">
        <v>39</v>
      </c>
      <c r="V7" s="24" t="s">
        <v>40</v>
      </c>
      <c r="W7" s="23" t="s">
        <v>39</v>
      </c>
      <c r="X7" s="6" t="s">
        <v>39</v>
      </c>
      <c r="Y7" s="31" t="s">
        <v>39</v>
      </c>
      <c r="Z7" s="24" t="s">
        <v>39</v>
      </c>
      <c r="AB7" s="6">
        <f t="shared" si="1"/>
        <v>22</v>
      </c>
      <c r="AC7" s="26">
        <f t="shared" si="2"/>
        <v>0.86363636363636365</v>
      </c>
      <c r="AD7" s="9">
        <f t="shared" si="3"/>
        <v>0</v>
      </c>
      <c r="AE7" s="9">
        <f t="shared" si="4"/>
        <v>0.13636363636363635</v>
      </c>
      <c r="AF7" s="9">
        <f t="shared" si="0"/>
        <v>0</v>
      </c>
      <c r="AG7" s="13">
        <f t="shared" si="5"/>
        <v>0.13636363636363635</v>
      </c>
      <c r="AH7" s="13">
        <f t="shared" si="6"/>
        <v>0.13636363636363635</v>
      </c>
    </row>
    <row r="8" spans="1:37" x14ac:dyDescent="0.3">
      <c r="C8" s="18" t="s">
        <v>51</v>
      </c>
      <c r="D8" s="10" t="s">
        <v>13</v>
      </c>
      <c r="E8" s="23" t="s">
        <v>40</v>
      </c>
      <c r="F8" s="24" t="s">
        <v>74</v>
      </c>
      <c r="G8" s="23" t="s">
        <v>74</v>
      </c>
      <c r="H8" s="24" t="s">
        <v>74</v>
      </c>
      <c r="I8" s="23" t="s">
        <v>74</v>
      </c>
      <c r="J8" s="24" t="s">
        <v>74</v>
      </c>
      <c r="K8" s="23" t="s">
        <v>74</v>
      </c>
      <c r="L8" s="24" t="s">
        <v>74</v>
      </c>
      <c r="M8" s="23" t="s">
        <v>74</v>
      </c>
      <c r="N8" s="24" t="s">
        <v>74</v>
      </c>
      <c r="O8" s="23" t="s">
        <v>74</v>
      </c>
      <c r="P8" s="24" t="s">
        <v>40</v>
      </c>
      <c r="Q8" s="23" t="s">
        <v>40</v>
      </c>
      <c r="R8" s="24" t="s">
        <v>40</v>
      </c>
      <c r="S8" s="23" t="s">
        <v>40</v>
      </c>
      <c r="T8" s="24" t="s">
        <v>40</v>
      </c>
      <c r="U8" s="23" t="s">
        <v>40</v>
      </c>
      <c r="V8" s="24" t="s">
        <v>40</v>
      </c>
      <c r="W8" s="23" t="s">
        <v>40</v>
      </c>
      <c r="X8" s="6" t="s">
        <v>40</v>
      </c>
      <c r="Y8" s="31" t="s">
        <v>40</v>
      </c>
      <c r="Z8" s="24" t="s">
        <v>40</v>
      </c>
      <c r="AB8" s="6">
        <f t="shared" si="1"/>
        <v>22</v>
      </c>
      <c r="AC8" s="26">
        <f t="shared" si="2"/>
        <v>0</v>
      </c>
      <c r="AD8" s="9">
        <f t="shared" si="3"/>
        <v>0.45454545454545453</v>
      </c>
      <c r="AE8" s="9">
        <f t="shared" si="4"/>
        <v>0.54545454545454541</v>
      </c>
      <c r="AF8" s="9">
        <f t="shared" si="0"/>
        <v>0</v>
      </c>
      <c r="AG8" s="13">
        <f t="shared" si="5"/>
        <v>1</v>
      </c>
      <c r="AH8" s="13"/>
    </row>
    <row r="9" spans="1:37" x14ac:dyDescent="0.3">
      <c r="C9" s="18" t="s">
        <v>87</v>
      </c>
      <c r="D9" s="10" t="s">
        <v>13</v>
      </c>
      <c r="E9" s="44"/>
      <c r="F9" s="45"/>
      <c r="G9" s="44"/>
      <c r="H9" s="45"/>
      <c r="I9" s="44"/>
      <c r="J9" s="45"/>
      <c r="K9" s="44"/>
      <c r="L9" s="45"/>
      <c r="M9" s="44"/>
      <c r="N9" s="45"/>
      <c r="O9" s="44"/>
      <c r="P9" s="45"/>
      <c r="Q9" s="44"/>
      <c r="R9" s="45"/>
      <c r="S9" s="44"/>
      <c r="T9" s="45"/>
      <c r="U9" s="44"/>
      <c r="V9" s="45"/>
      <c r="W9" s="44"/>
      <c r="X9" s="6" t="s">
        <v>39</v>
      </c>
      <c r="Y9" s="31" t="s">
        <v>39</v>
      </c>
      <c r="Z9" s="24" t="s">
        <v>39</v>
      </c>
      <c r="AB9" s="6">
        <f t="shared" ref="AB9" si="7">COUNTA(E9:Z9)</f>
        <v>3</v>
      </c>
      <c r="AC9" s="26">
        <f t="shared" ref="AC9" si="8">COUNTIF($E9:$Z9,"P")/AB9</f>
        <v>1</v>
      </c>
      <c r="AD9" s="9">
        <f t="shared" ref="AD9" si="9">COUNTIF($E9:$Z9,"A")/AB9</f>
        <v>0</v>
      </c>
      <c r="AE9" s="9">
        <f t="shared" ref="AE9" si="10">COUNTIF($E9:$Z9,"E")/AB9</f>
        <v>0</v>
      </c>
      <c r="AF9" s="9">
        <f t="shared" ref="AF9" si="11">IF(B9&lt;&gt;"OUI",COUNTIF($E9:$Z9,"Disp")/AB9,1)</f>
        <v>0</v>
      </c>
      <c r="AG9" s="13">
        <f t="shared" ref="AG9" si="12">AD9+AE9</f>
        <v>0</v>
      </c>
      <c r="AH9" s="13"/>
    </row>
    <row r="10" spans="1:37" x14ac:dyDescent="0.3">
      <c r="C10" s="18" t="s">
        <v>52</v>
      </c>
      <c r="D10" s="10" t="s">
        <v>13</v>
      </c>
      <c r="E10" s="23" t="s">
        <v>40</v>
      </c>
      <c r="F10" s="24" t="s">
        <v>39</v>
      </c>
      <c r="G10" s="23" t="s">
        <v>39</v>
      </c>
      <c r="H10" s="24" t="s">
        <v>39</v>
      </c>
      <c r="I10" s="23" t="s">
        <v>39</v>
      </c>
      <c r="J10" s="24" t="s">
        <v>39</v>
      </c>
      <c r="K10" s="23" t="s">
        <v>39</v>
      </c>
      <c r="L10" s="24" t="s">
        <v>39</v>
      </c>
      <c r="M10" s="23" t="s">
        <v>39</v>
      </c>
      <c r="N10" s="24" t="s">
        <v>39</v>
      </c>
      <c r="O10" s="23" t="s">
        <v>40</v>
      </c>
      <c r="P10" s="24" t="s">
        <v>39</v>
      </c>
      <c r="Q10" s="23" t="s">
        <v>39</v>
      </c>
      <c r="R10" s="24" t="s">
        <v>40</v>
      </c>
      <c r="S10" s="23" t="s">
        <v>39</v>
      </c>
      <c r="T10" s="24" t="s">
        <v>39</v>
      </c>
      <c r="U10" s="23" t="s">
        <v>39</v>
      </c>
      <c r="V10" s="24" t="s">
        <v>40</v>
      </c>
      <c r="W10" s="23" t="s">
        <v>39</v>
      </c>
      <c r="X10" s="6" t="s">
        <v>39</v>
      </c>
      <c r="Y10" s="31" t="s">
        <v>39</v>
      </c>
      <c r="Z10" s="24" t="s">
        <v>39</v>
      </c>
      <c r="AB10" s="6">
        <f t="shared" si="1"/>
        <v>22</v>
      </c>
      <c r="AC10" s="26">
        <f t="shared" si="2"/>
        <v>0.81818181818181823</v>
      </c>
      <c r="AD10" s="9">
        <f t="shared" si="3"/>
        <v>0</v>
      </c>
      <c r="AE10" s="9">
        <f t="shared" si="4"/>
        <v>0.18181818181818182</v>
      </c>
      <c r="AF10" s="9">
        <f t="shared" si="0"/>
        <v>0</v>
      </c>
      <c r="AG10" s="13">
        <f t="shared" si="5"/>
        <v>0.18181818181818182</v>
      </c>
      <c r="AH10" s="13"/>
    </row>
    <row r="11" spans="1:37" x14ac:dyDescent="0.3">
      <c r="A11" s="4" t="s">
        <v>73</v>
      </c>
      <c r="C11" s="18" t="s">
        <v>53</v>
      </c>
      <c r="D11" s="10" t="s">
        <v>13</v>
      </c>
      <c r="E11" s="23" t="s">
        <v>40</v>
      </c>
      <c r="F11" s="24" t="s">
        <v>40</v>
      </c>
      <c r="G11" s="23" t="s">
        <v>40</v>
      </c>
      <c r="H11" s="24" t="s">
        <v>39</v>
      </c>
      <c r="I11" s="23" t="s">
        <v>39</v>
      </c>
      <c r="J11" s="24" t="s">
        <v>39</v>
      </c>
      <c r="K11" s="23" t="s">
        <v>40</v>
      </c>
      <c r="L11" s="24" t="s">
        <v>39</v>
      </c>
      <c r="M11" s="23" t="s">
        <v>40</v>
      </c>
      <c r="N11" s="24" t="s">
        <v>40</v>
      </c>
      <c r="O11" s="23" t="s">
        <v>39</v>
      </c>
      <c r="P11" s="24" t="s">
        <v>40</v>
      </c>
      <c r="Q11" s="23" t="s">
        <v>40</v>
      </c>
      <c r="R11" s="24" t="s">
        <v>39</v>
      </c>
      <c r="S11" s="23" t="s">
        <v>40</v>
      </c>
      <c r="T11" s="24" t="s">
        <v>39</v>
      </c>
      <c r="U11" s="23" t="s">
        <v>39</v>
      </c>
      <c r="V11" s="24" t="s">
        <v>39</v>
      </c>
      <c r="W11" s="23" t="s">
        <v>40</v>
      </c>
      <c r="X11" s="6" t="s">
        <v>39</v>
      </c>
      <c r="Y11" s="31" t="s">
        <v>39</v>
      </c>
      <c r="Z11" s="24" t="s">
        <v>39</v>
      </c>
      <c r="AB11" s="6">
        <f t="shared" si="1"/>
        <v>22</v>
      </c>
      <c r="AC11" s="26">
        <f t="shared" si="2"/>
        <v>0.54545454545454541</v>
      </c>
      <c r="AD11" s="9">
        <f t="shared" si="3"/>
        <v>0</v>
      </c>
      <c r="AE11" s="9">
        <f t="shared" si="4"/>
        <v>0.45454545454545453</v>
      </c>
      <c r="AF11" s="9">
        <f t="shared" si="0"/>
        <v>0</v>
      </c>
      <c r="AG11" s="13">
        <f t="shared" si="5"/>
        <v>0.45454545454545453</v>
      </c>
      <c r="AH11" s="13">
        <f t="shared" si="6"/>
        <v>0.45454545454545453</v>
      </c>
    </row>
    <row r="12" spans="1:37" x14ac:dyDescent="0.3">
      <c r="C12" s="18" t="s">
        <v>54</v>
      </c>
      <c r="D12" s="10" t="s">
        <v>13</v>
      </c>
      <c r="E12" s="23" t="s">
        <v>39</v>
      </c>
      <c r="F12" s="24" t="s">
        <v>40</v>
      </c>
      <c r="G12" s="23" t="s">
        <v>39</v>
      </c>
      <c r="H12" s="24" t="s">
        <v>40</v>
      </c>
      <c r="I12" s="23" t="s">
        <v>39</v>
      </c>
      <c r="J12" s="24" t="s">
        <v>40</v>
      </c>
      <c r="K12" s="23" t="s">
        <v>39</v>
      </c>
      <c r="L12" s="24" t="s">
        <v>39</v>
      </c>
      <c r="M12" s="23" t="s">
        <v>40</v>
      </c>
      <c r="N12" s="24" t="s">
        <v>40</v>
      </c>
      <c r="O12" s="23" t="s">
        <v>39</v>
      </c>
      <c r="P12" s="24" t="s">
        <v>40</v>
      </c>
      <c r="Q12" s="23" t="s">
        <v>40</v>
      </c>
      <c r="R12" s="24" t="s">
        <v>40</v>
      </c>
      <c r="S12" s="23" t="s">
        <v>40</v>
      </c>
      <c r="T12" s="24" t="s">
        <v>40</v>
      </c>
      <c r="U12" s="23" t="s">
        <v>40</v>
      </c>
      <c r="V12" s="24" t="s">
        <v>39</v>
      </c>
      <c r="W12" s="23" t="s">
        <v>40</v>
      </c>
      <c r="X12" s="6" t="s">
        <v>40</v>
      </c>
      <c r="Y12" s="31" t="s">
        <v>40</v>
      </c>
      <c r="Z12" s="24" t="s">
        <v>40</v>
      </c>
      <c r="AB12" s="6">
        <f t="shared" si="1"/>
        <v>22</v>
      </c>
      <c r="AC12" s="26">
        <f t="shared" si="2"/>
        <v>0.31818181818181818</v>
      </c>
      <c r="AD12" s="9">
        <f t="shared" si="3"/>
        <v>0</v>
      </c>
      <c r="AE12" s="9">
        <f t="shared" si="4"/>
        <v>0.68181818181818177</v>
      </c>
      <c r="AF12" s="9">
        <f t="shared" si="0"/>
        <v>0</v>
      </c>
      <c r="AG12" s="13">
        <f t="shared" si="5"/>
        <v>0.68181818181818177</v>
      </c>
      <c r="AH12" s="13"/>
    </row>
    <row r="13" spans="1:37" x14ac:dyDescent="0.3">
      <c r="A13" s="4" t="s">
        <v>70</v>
      </c>
      <c r="C13" s="18" t="s">
        <v>1</v>
      </c>
      <c r="D13" s="10" t="s">
        <v>13</v>
      </c>
      <c r="E13" s="23" t="s">
        <v>39</v>
      </c>
      <c r="F13" s="24" t="s">
        <v>39</v>
      </c>
      <c r="G13" s="23" t="s">
        <v>39</v>
      </c>
      <c r="H13" s="24" t="s">
        <v>39</v>
      </c>
      <c r="I13" s="23" t="s">
        <v>39</v>
      </c>
      <c r="J13" s="24" t="s">
        <v>39</v>
      </c>
      <c r="K13" s="23" t="s">
        <v>39</v>
      </c>
      <c r="L13" s="24" t="s">
        <v>39</v>
      </c>
      <c r="M13" s="23" t="s">
        <v>39</v>
      </c>
      <c r="N13" s="24" t="s">
        <v>39</v>
      </c>
      <c r="O13" s="23" t="s">
        <v>39</v>
      </c>
      <c r="P13" s="24" t="s">
        <v>39</v>
      </c>
      <c r="Q13" s="23" t="s">
        <v>39</v>
      </c>
      <c r="R13" s="24" t="s">
        <v>39</v>
      </c>
      <c r="S13" s="23" t="s">
        <v>39</v>
      </c>
      <c r="T13" s="24" t="s">
        <v>39</v>
      </c>
      <c r="U13" s="23" t="s">
        <v>39</v>
      </c>
      <c r="V13" s="24" t="s">
        <v>39</v>
      </c>
      <c r="W13" s="23" t="s">
        <v>39</v>
      </c>
      <c r="X13" s="6" t="s">
        <v>39</v>
      </c>
      <c r="Y13" s="31" t="s">
        <v>39</v>
      </c>
      <c r="Z13" s="24" t="s">
        <v>39</v>
      </c>
      <c r="AB13" s="6">
        <f t="shared" si="1"/>
        <v>22</v>
      </c>
      <c r="AC13" s="26">
        <f t="shared" si="2"/>
        <v>1</v>
      </c>
      <c r="AD13" s="9">
        <f t="shared" si="3"/>
        <v>0</v>
      </c>
      <c r="AE13" s="9">
        <f t="shared" si="4"/>
        <v>0</v>
      </c>
      <c r="AF13" s="9">
        <f t="shared" si="0"/>
        <v>0</v>
      </c>
      <c r="AG13" s="13">
        <f t="shared" si="5"/>
        <v>0</v>
      </c>
      <c r="AH13" s="13">
        <f t="shared" si="6"/>
        <v>0</v>
      </c>
    </row>
    <row r="14" spans="1:37" x14ac:dyDescent="0.3">
      <c r="C14" s="18" t="s">
        <v>77</v>
      </c>
      <c r="D14" s="10" t="s">
        <v>13</v>
      </c>
      <c r="E14" s="23" t="s">
        <v>39</v>
      </c>
      <c r="F14" s="24" t="s">
        <v>39</v>
      </c>
      <c r="G14" s="23" t="s">
        <v>39</v>
      </c>
      <c r="H14" s="24" t="s">
        <v>39</v>
      </c>
      <c r="I14" s="23" t="s">
        <v>40</v>
      </c>
      <c r="J14" s="24" t="s">
        <v>39</v>
      </c>
      <c r="K14" s="23" t="s">
        <v>39</v>
      </c>
      <c r="L14" s="24" t="s">
        <v>40</v>
      </c>
      <c r="M14" s="23" t="s">
        <v>40</v>
      </c>
      <c r="N14" s="24" t="s">
        <v>39</v>
      </c>
      <c r="O14" s="23" t="s">
        <v>39</v>
      </c>
      <c r="P14" s="24" t="s">
        <v>40</v>
      </c>
      <c r="Q14" s="23" t="s">
        <v>39</v>
      </c>
      <c r="R14" s="24" t="s">
        <v>39</v>
      </c>
      <c r="S14" s="23" t="s">
        <v>39</v>
      </c>
      <c r="T14" s="24" t="s">
        <v>40</v>
      </c>
      <c r="U14" s="23" t="s">
        <v>40</v>
      </c>
      <c r="V14" s="24" t="s">
        <v>40</v>
      </c>
      <c r="W14" s="23" t="s">
        <v>39</v>
      </c>
      <c r="X14" s="6" t="s">
        <v>40</v>
      </c>
      <c r="Y14" s="31" t="s">
        <v>40</v>
      </c>
      <c r="Z14" s="24" t="s">
        <v>40</v>
      </c>
      <c r="AB14" s="6">
        <f t="shared" si="1"/>
        <v>22</v>
      </c>
      <c r="AC14" s="26">
        <f t="shared" si="2"/>
        <v>0.54545454545454541</v>
      </c>
      <c r="AD14" s="9">
        <f t="shared" si="3"/>
        <v>0</v>
      </c>
      <c r="AE14" s="9">
        <f t="shared" si="4"/>
        <v>0.45454545454545453</v>
      </c>
      <c r="AF14" s="9">
        <f t="shared" si="0"/>
        <v>0</v>
      </c>
      <c r="AG14" s="13">
        <f t="shared" si="5"/>
        <v>0.45454545454545453</v>
      </c>
      <c r="AH14" s="13"/>
    </row>
    <row r="15" spans="1:37" x14ac:dyDescent="0.3">
      <c r="A15" s="4" t="s">
        <v>35</v>
      </c>
      <c r="C15" s="18" t="s">
        <v>55</v>
      </c>
      <c r="D15" s="10" t="s">
        <v>13</v>
      </c>
      <c r="E15" s="23" t="s">
        <v>39</v>
      </c>
      <c r="F15" s="24" t="s">
        <v>39</v>
      </c>
      <c r="G15" s="23" t="s">
        <v>39</v>
      </c>
      <c r="H15" s="24" t="s">
        <v>39</v>
      </c>
      <c r="I15" s="23" t="s">
        <v>39</v>
      </c>
      <c r="J15" s="24" t="s">
        <v>39</v>
      </c>
      <c r="K15" s="23" t="s">
        <v>39</v>
      </c>
      <c r="L15" s="24" t="s">
        <v>39</v>
      </c>
      <c r="M15" s="23" t="s">
        <v>39</v>
      </c>
      <c r="N15" s="24" t="s">
        <v>39</v>
      </c>
      <c r="O15" s="23" t="s">
        <v>39</v>
      </c>
      <c r="P15" s="24" t="s">
        <v>39</v>
      </c>
      <c r="Q15" s="23" t="s">
        <v>39</v>
      </c>
      <c r="R15" s="24" t="s">
        <v>39</v>
      </c>
      <c r="S15" s="23" t="s">
        <v>39</v>
      </c>
      <c r="T15" s="24" t="s">
        <v>39</v>
      </c>
      <c r="U15" s="23" t="s">
        <v>39</v>
      </c>
      <c r="V15" s="24" t="s">
        <v>39</v>
      </c>
      <c r="W15" s="23" t="s">
        <v>39</v>
      </c>
      <c r="X15" s="6" t="s">
        <v>39</v>
      </c>
      <c r="Y15" s="31" t="s">
        <v>39</v>
      </c>
      <c r="Z15" s="24" t="s">
        <v>39</v>
      </c>
      <c r="AB15" s="6">
        <f t="shared" si="1"/>
        <v>22</v>
      </c>
      <c r="AC15" s="26">
        <f t="shared" si="2"/>
        <v>1</v>
      </c>
      <c r="AD15" s="9">
        <f t="shared" si="3"/>
        <v>0</v>
      </c>
      <c r="AE15" s="9">
        <f t="shared" si="4"/>
        <v>0</v>
      </c>
      <c r="AF15" s="9">
        <f t="shared" si="0"/>
        <v>0</v>
      </c>
      <c r="AG15" s="13">
        <f t="shared" si="5"/>
        <v>0</v>
      </c>
      <c r="AH15" s="13">
        <f t="shared" si="6"/>
        <v>0</v>
      </c>
    </row>
    <row r="16" spans="1:37" x14ac:dyDescent="0.3">
      <c r="C16" s="18" t="s">
        <v>56</v>
      </c>
      <c r="D16" s="10" t="s">
        <v>13</v>
      </c>
      <c r="E16" s="23" t="s">
        <v>39</v>
      </c>
      <c r="F16" s="24" t="s">
        <v>40</v>
      </c>
      <c r="G16" s="23" t="s">
        <v>40</v>
      </c>
      <c r="H16" s="24" t="s">
        <v>40</v>
      </c>
      <c r="I16" s="23" t="s">
        <v>40</v>
      </c>
      <c r="J16" s="24" t="s">
        <v>39</v>
      </c>
      <c r="K16" s="23" t="s">
        <v>39</v>
      </c>
      <c r="L16" s="24" t="s">
        <v>40</v>
      </c>
      <c r="M16" s="23" t="s">
        <v>39</v>
      </c>
      <c r="N16" s="24" t="s">
        <v>40</v>
      </c>
      <c r="O16" s="23" t="s">
        <v>39</v>
      </c>
      <c r="P16" s="24" t="s">
        <v>39</v>
      </c>
      <c r="Q16" s="23" t="s">
        <v>39</v>
      </c>
      <c r="R16" s="24" t="s">
        <v>39</v>
      </c>
      <c r="S16" s="23" t="s">
        <v>40</v>
      </c>
      <c r="T16" s="24" t="s">
        <v>39</v>
      </c>
      <c r="U16" s="23" t="s">
        <v>40</v>
      </c>
      <c r="V16" s="24" t="s">
        <v>39</v>
      </c>
      <c r="W16" s="23" t="s">
        <v>39</v>
      </c>
      <c r="X16" s="6" t="s">
        <v>39</v>
      </c>
      <c r="Y16" s="31" t="s">
        <v>40</v>
      </c>
      <c r="Z16" s="24" t="s">
        <v>40</v>
      </c>
      <c r="AB16" s="6">
        <f t="shared" si="1"/>
        <v>22</v>
      </c>
      <c r="AC16" s="26">
        <f t="shared" si="2"/>
        <v>0.54545454545454541</v>
      </c>
      <c r="AD16" s="9">
        <f t="shared" si="3"/>
        <v>0</v>
      </c>
      <c r="AE16" s="9">
        <f t="shared" si="4"/>
        <v>0.45454545454545453</v>
      </c>
      <c r="AF16" s="9">
        <f t="shared" si="0"/>
        <v>0</v>
      </c>
      <c r="AG16" s="13">
        <f t="shared" si="5"/>
        <v>0.45454545454545453</v>
      </c>
      <c r="AH16" s="13"/>
    </row>
    <row r="17" spans="1:34" x14ac:dyDescent="0.3">
      <c r="A17" s="4" t="s">
        <v>38</v>
      </c>
      <c r="C17" s="18" t="s">
        <v>2</v>
      </c>
      <c r="D17" s="10" t="s">
        <v>13</v>
      </c>
      <c r="E17" s="23" t="s">
        <v>39</v>
      </c>
      <c r="F17" s="24" t="s">
        <v>39</v>
      </c>
      <c r="G17" s="23" t="s">
        <v>39</v>
      </c>
      <c r="H17" s="24" t="s">
        <v>39</v>
      </c>
      <c r="I17" s="23" t="s">
        <v>39</v>
      </c>
      <c r="J17" s="24" t="s">
        <v>39</v>
      </c>
      <c r="K17" s="23" t="s">
        <v>39</v>
      </c>
      <c r="L17" s="24" t="s">
        <v>39</v>
      </c>
      <c r="M17" s="23" t="s">
        <v>39</v>
      </c>
      <c r="N17" s="24" t="s">
        <v>39</v>
      </c>
      <c r="O17" s="23" t="s">
        <v>39</v>
      </c>
      <c r="P17" s="24" t="s">
        <v>39</v>
      </c>
      <c r="Q17" s="23" t="s">
        <v>39</v>
      </c>
      <c r="R17" s="24" t="s">
        <v>39</v>
      </c>
      <c r="S17" s="23" t="s">
        <v>39</v>
      </c>
      <c r="T17" s="24" t="s">
        <v>39</v>
      </c>
      <c r="U17" s="23" t="s">
        <v>39</v>
      </c>
      <c r="V17" s="24" t="s">
        <v>39</v>
      </c>
      <c r="W17" s="23" t="s">
        <v>39</v>
      </c>
      <c r="X17" s="6" t="s">
        <v>39</v>
      </c>
      <c r="Y17" s="31" t="s">
        <v>39</v>
      </c>
      <c r="Z17" s="24" t="s">
        <v>39</v>
      </c>
      <c r="AB17" s="6">
        <f t="shared" ref="AB17" si="13">COUNTA(E17:Z17)</f>
        <v>22</v>
      </c>
      <c r="AC17" s="26">
        <f t="shared" ref="AC17" si="14">COUNTIF($E17:$Z17,"P")/AB17</f>
        <v>1</v>
      </c>
      <c r="AD17" s="9">
        <f t="shared" ref="AD17" si="15">COUNTIF($E17:$Z17,"A")/AB17</f>
        <v>0</v>
      </c>
      <c r="AE17" s="9">
        <f t="shared" ref="AE17" si="16">COUNTIF($E17:$Z17,"E")/AB17</f>
        <v>0</v>
      </c>
      <c r="AF17" s="9">
        <f t="shared" si="0"/>
        <v>0</v>
      </c>
      <c r="AG17" s="13">
        <f t="shared" ref="AG17" si="17">AD17+AE17</f>
        <v>0</v>
      </c>
      <c r="AH17" s="13">
        <f t="shared" si="6"/>
        <v>0</v>
      </c>
    </row>
    <row r="18" spans="1:34" x14ac:dyDescent="0.3">
      <c r="A18" s="4" t="s">
        <v>44</v>
      </c>
      <c r="C18" s="18" t="s">
        <v>3</v>
      </c>
      <c r="D18" s="10" t="s">
        <v>13</v>
      </c>
      <c r="E18" s="23" t="s">
        <v>39</v>
      </c>
      <c r="F18" s="24" t="s">
        <v>39</v>
      </c>
      <c r="G18" s="23" t="s">
        <v>39</v>
      </c>
      <c r="H18" s="24" t="s">
        <v>39</v>
      </c>
      <c r="I18" s="23" t="s">
        <v>39</v>
      </c>
      <c r="J18" s="24" t="s">
        <v>39</v>
      </c>
      <c r="K18" s="23" t="s">
        <v>39</v>
      </c>
      <c r="L18" s="24" t="s">
        <v>39</v>
      </c>
      <c r="M18" s="23" t="s">
        <v>39</v>
      </c>
      <c r="N18" s="24" t="s">
        <v>39</v>
      </c>
      <c r="O18" s="23" t="s">
        <v>39</v>
      </c>
      <c r="P18" s="24" t="s">
        <v>39</v>
      </c>
      <c r="Q18" s="23" t="s">
        <v>39</v>
      </c>
      <c r="R18" s="24" t="s">
        <v>39</v>
      </c>
      <c r="S18" s="23" t="s">
        <v>40</v>
      </c>
      <c r="T18" s="24" t="s">
        <v>39</v>
      </c>
      <c r="U18" s="23" t="s">
        <v>39</v>
      </c>
      <c r="V18" s="24" t="s">
        <v>39</v>
      </c>
      <c r="W18" s="23" t="s">
        <v>39</v>
      </c>
      <c r="X18" s="6" t="s">
        <v>39</v>
      </c>
      <c r="Y18" s="31" t="s">
        <v>39</v>
      </c>
      <c r="Z18" s="24" t="s">
        <v>39</v>
      </c>
      <c r="AB18" s="6">
        <f t="shared" si="1"/>
        <v>22</v>
      </c>
      <c r="AC18" s="26">
        <f t="shared" si="2"/>
        <v>0.95454545454545459</v>
      </c>
      <c r="AD18" s="9">
        <f t="shared" si="3"/>
        <v>0</v>
      </c>
      <c r="AE18" s="9">
        <f t="shared" si="4"/>
        <v>4.5454545454545456E-2</v>
      </c>
      <c r="AF18" s="9">
        <f t="shared" si="0"/>
        <v>0</v>
      </c>
      <c r="AG18" s="13">
        <f t="shared" si="5"/>
        <v>4.5454545454545456E-2</v>
      </c>
      <c r="AH18" s="13">
        <f t="shared" si="6"/>
        <v>4.5454545454545456E-2</v>
      </c>
    </row>
    <row r="19" spans="1:34" x14ac:dyDescent="0.3">
      <c r="A19" s="4" t="s">
        <v>45</v>
      </c>
      <c r="C19" s="18" t="s">
        <v>57</v>
      </c>
      <c r="D19" s="10" t="s">
        <v>13</v>
      </c>
      <c r="E19" s="23" t="s">
        <v>39</v>
      </c>
      <c r="F19" s="24" t="s">
        <v>39</v>
      </c>
      <c r="G19" s="23" t="s">
        <v>39</v>
      </c>
      <c r="H19" s="24" t="s">
        <v>39</v>
      </c>
      <c r="I19" s="23" t="s">
        <v>39</v>
      </c>
      <c r="J19" s="24" t="s">
        <v>39</v>
      </c>
      <c r="K19" s="23" t="s">
        <v>39</v>
      </c>
      <c r="L19" s="24" t="s">
        <v>39</v>
      </c>
      <c r="M19" s="23" t="s">
        <v>39</v>
      </c>
      <c r="N19" s="24" t="s">
        <v>39</v>
      </c>
      <c r="O19" s="23" t="s">
        <v>39</v>
      </c>
      <c r="P19" s="24" t="s">
        <v>39</v>
      </c>
      <c r="Q19" s="23" t="s">
        <v>39</v>
      </c>
      <c r="R19" s="24" t="s">
        <v>40</v>
      </c>
      <c r="S19" s="23" t="s">
        <v>40</v>
      </c>
      <c r="T19" s="24" t="s">
        <v>39</v>
      </c>
      <c r="U19" s="23" t="s">
        <v>39</v>
      </c>
      <c r="V19" s="24" t="s">
        <v>39</v>
      </c>
      <c r="W19" s="23" t="s">
        <v>39</v>
      </c>
      <c r="X19" s="6" t="s">
        <v>39</v>
      </c>
      <c r="Y19" s="31" t="s">
        <v>39</v>
      </c>
      <c r="Z19" s="24" t="s">
        <v>39</v>
      </c>
      <c r="AB19" s="6">
        <f t="shared" si="1"/>
        <v>22</v>
      </c>
      <c r="AC19" s="26">
        <f t="shared" si="2"/>
        <v>0.90909090909090906</v>
      </c>
      <c r="AD19" s="9">
        <f t="shared" si="3"/>
        <v>0</v>
      </c>
      <c r="AE19" s="9">
        <f t="shared" si="4"/>
        <v>9.0909090909090912E-2</v>
      </c>
      <c r="AF19" s="9">
        <f t="shared" si="0"/>
        <v>0</v>
      </c>
      <c r="AG19" s="13">
        <f t="shared" si="5"/>
        <v>9.0909090909090912E-2</v>
      </c>
      <c r="AH19" s="13">
        <f t="shared" si="6"/>
        <v>9.0909090909090912E-2</v>
      </c>
    </row>
    <row r="20" spans="1:34" x14ac:dyDescent="0.3">
      <c r="C20" s="18" t="s">
        <v>4</v>
      </c>
      <c r="D20" s="10" t="s">
        <v>14</v>
      </c>
      <c r="E20" s="23" t="s">
        <v>39</v>
      </c>
      <c r="F20" s="24" t="s">
        <v>39</v>
      </c>
      <c r="G20" s="23" t="s">
        <v>40</v>
      </c>
      <c r="H20" s="24" t="s">
        <v>39</v>
      </c>
      <c r="I20" s="23" t="s">
        <v>40</v>
      </c>
      <c r="J20" s="24" t="s">
        <v>39</v>
      </c>
      <c r="K20" s="23" t="s">
        <v>39</v>
      </c>
      <c r="L20" s="24" t="s">
        <v>39</v>
      </c>
      <c r="M20" s="23" t="s">
        <v>39</v>
      </c>
      <c r="N20" s="24" t="s">
        <v>39</v>
      </c>
      <c r="O20" s="23" t="s">
        <v>39</v>
      </c>
      <c r="P20" s="24" t="s">
        <v>39</v>
      </c>
      <c r="Q20" s="23" t="s">
        <v>39</v>
      </c>
      <c r="R20" s="24" t="s">
        <v>39</v>
      </c>
      <c r="S20" s="23" t="s">
        <v>39</v>
      </c>
      <c r="T20" s="24" t="s">
        <v>39</v>
      </c>
      <c r="U20" s="23" t="s">
        <v>39</v>
      </c>
      <c r="V20" s="24" t="s">
        <v>39</v>
      </c>
      <c r="W20" s="23" t="s">
        <v>39</v>
      </c>
      <c r="X20" s="6" t="s">
        <v>39</v>
      </c>
      <c r="Y20" s="31" t="s">
        <v>39</v>
      </c>
      <c r="Z20" s="24" t="s">
        <v>39</v>
      </c>
      <c r="AB20" s="6">
        <f t="shared" si="1"/>
        <v>22</v>
      </c>
      <c r="AC20" s="26">
        <f t="shared" si="2"/>
        <v>0.90909090909090906</v>
      </c>
      <c r="AD20" s="9">
        <f t="shared" si="3"/>
        <v>0</v>
      </c>
      <c r="AE20" s="9">
        <f t="shared" si="4"/>
        <v>9.0909090909090912E-2</v>
      </c>
      <c r="AF20" s="9">
        <f t="shared" si="0"/>
        <v>0</v>
      </c>
      <c r="AG20" s="13">
        <f t="shared" si="5"/>
        <v>9.0909090909090912E-2</v>
      </c>
      <c r="AH20" s="13"/>
    </row>
    <row r="21" spans="1:34" x14ac:dyDescent="0.3">
      <c r="C21" s="18" t="s">
        <v>58</v>
      </c>
      <c r="D21" s="10" t="s">
        <v>13</v>
      </c>
      <c r="E21" s="23" t="s">
        <v>39</v>
      </c>
      <c r="F21" s="24" t="s">
        <v>40</v>
      </c>
      <c r="G21" s="23" t="s">
        <v>40</v>
      </c>
      <c r="H21" s="24" t="s">
        <v>39</v>
      </c>
      <c r="I21" s="23" t="s">
        <v>40</v>
      </c>
      <c r="J21" s="24" t="s">
        <v>40</v>
      </c>
      <c r="K21" s="23" t="s">
        <v>40</v>
      </c>
      <c r="L21" s="24" t="s">
        <v>39</v>
      </c>
      <c r="M21" s="23" t="s">
        <v>40</v>
      </c>
      <c r="N21" s="24" t="s">
        <v>39</v>
      </c>
      <c r="O21" s="23" t="s">
        <v>39</v>
      </c>
      <c r="P21" s="24" t="s">
        <v>40</v>
      </c>
      <c r="Q21" s="23" t="s">
        <v>40</v>
      </c>
      <c r="R21" s="24" t="s">
        <v>40</v>
      </c>
      <c r="S21" s="23" t="s">
        <v>40</v>
      </c>
      <c r="T21" s="24" t="s">
        <v>40</v>
      </c>
      <c r="U21" s="23" t="s">
        <v>40</v>
      </c>
      <c r="V21" s="24" t="s">
        <v>40</v>
      </c>
      <c r="W21" s="23" t="s">
        <v>40</v>
      </c>
      <c r="X21" s="6" t="s">
        <v>40</v>
      </c>
      <c r="Y21" s="31" t="s">
        <v>39</v>
      </c>
      <c r="Z21" s="24" t="s">
        <v>39</v>
      </c>
      <c r="AB21" s="6">
        <f t="shared" si="1"/>
        <v>22</v>
      </c>
      <c r="AC21" s="26">
        <f t="shared" si="2"/>
        <v>0.31818181818181818</v>
      </c>
      <c r="AD21" s="9">
        <f t="shared" si="3"/>
        <v>0</v>
      </c>
      <c r="AE21" s="9">
        <f t="shared" si="4"/>
        <v>0.68181818181818177</v>
      </c>
      <c r="AF21" s="9">
        <f t="shared" si="0"/>
        <v>0</v>
      </c>
      <c r="AG21" s="13">
        <f t="shared" si="5"/>
        <v>0.68181818181818177</v>
      </c>
      <c r="AH21" s="13"/>
    </row>
    <row r="22" spans="1:34" x14ac:dyDescent="0.3">
      <c r="A22" s="4" t="s">
        <v>43</v>
      </c>
      <c r="C22" s="18" t="s">
        <v>59</v>
      </c>
      <c r="D22" s="10" t="s">
        <v>13</v>
      </c>
      <c r="E22" s="23" t="s">
        <v>39</v>
      </c>
      <c r="F22" s="24" t="s">
        <v>40</v>
      </c>
      <c r="G22" s="23" t="s">
        <v>39</v>
      </c>
      <c r="H22" s="24" t="s">
        <v>40</v>
      </c>
      <c r="I22" s="23" t="s">
        <v>39</v>
      </c>
      <c r="J22" s="24" t="s">
        <v>39</v>
      </c>
      <c r="K22" s="23" t="s">
        <v>39</v>
      </c>
      <c r="L22" s="24" t="s">
        <v>39</v>
      </c>
      <c r="M22" s="23" t="s">
        <v>40</v>
      </c>
      <c r="N22" s="24" t="s">
        <v>40</v>
      </c>
      <c r="O22" s="23" t="s">
        <v>39</v>
      </c>
      <c r="P22" s="24" t="s">
        <v>39</v>
      </c>
      <c r="Q22" s="23" t="s">
        <v>40</v>
      </c>
      <c r="R22" s="24" t="s">
        <v>39</v>
      </c>
      <c r="S22" s="23" t="s">
        <v>39</v>
      </c>
      <c r="T22" s="24" t="s">
        <v>39</v>
      </c>
      <c r="U22" s="23" t="s">
        <v>39</v>
      </c>
      <c r="V22" s="24" t="s">
        <v>40</v>
      </c>
      <c r="W22" s="23" t="s">
        <v>40</v>
      </c>
      <c r="X22" s="6" t="s">
        <v>40</v>
      </c>
      <c r="Y22" s="31" t="s">
        <v>39</v>
      </c>
      <c r="Z22" s="24" t="s">
        <v>39</v>
      </c>
      <c r="AB22" s="6">
        <f t="shared" si="1"/>
        <v>22</v>
      </c>
      <c r="AC22" s="26">
        <f t="shared" si="2"/>
        <v>0.63636363636363635</v>
      </c>
      <c r="AD22" s="9">
        <f t="shared" si="3"/>
        <v>0</v>
      </c>
      <c r="AE22" s="9">
        <f t="shared" si="4"/>
        <v>0.36363636363636365</v>
      </c>
      <c r="AF22" s="9">
        <f t="shared" si="0"/>
        <v>0</v>
      </c>
      <c r="AG22" s="13">
        <f t="shared" si="5"/>
        <v>0.36363636363636365</v>
      </c>
      <c r="AH22" s="13">
        <f t="shared" si="6"/>
        <v>0.36363636363636365</v>
      </c>
    </row>
    <row r="23" spans="1:34" x14ac:dyDescent="0.3">
      <c r="C23" s="18" t="s">
        <v>60</v>
      </c>
      <c r="D23" s="10" t="s">
        <v>12</v>
      </c>
      <c r="E23" s="23" t="s">
        <v>40</v>
      </c>
      <c r="F23" s="24" t="s">
        <v>39</v>
      </c>
      <c r="G23" s="23" t="s">
        <v>40</v>
      </c>
      <c r="H23" s="24" t="s">
        <v>39</v>
      </c>
      <c r="I23" s="23" t="s">
        <v>39</v>
      </c>
      <c r="J23" s="24" t="s">
        <v>39</v>
      </c>
      <c r="K23" s="23" t="s">
        <v>39</v>
      </c>
      <c r="L23" s="24" t="s">
        <v>40</v>
      </c>
      <c r="M23" s="23" t="s">
        <v>40</v>
      </c>
      <c r="N23" s="24" t="s">
        <v>39</v>
      </c>
      <c r="O23" s="23" t="s">
        <v>40</v>
      </c>
      <c r="P23" s="24" t="s">
        <v>39</v>
      </c>
      <c r="Q23" s="23" t="s">
        <v>39</v>
      </c>
      <c r="R23" s="24" t="s">
        <v>39</v>
      </c>
      <c r="S23" s="23" t="s">
        <v>39</v>
      </c>
      <c r="T23" s="24" t="s">
        <v>39</v>
      </c>
      <c r="U23" s="23" t="s">
        <v>40</v>
      </c>
      <c r="V23" s="24" t="s">
        <v>39</v>
      </c>
      <c r="W23" s="23" t="s">
        <v>40</v>
      </c>
      <c r="X23" s="46"/>
      <c r="Y23" s="47"/>
      <c r="Z23" s="24" t="s">
        <v>39</v>
      </c>
      <c r="AB23" s="6">
        <f t="shared" si="1"/>
        <v>20</v>
      </c>
      <c r="AC23" s="26">
        <f t="shared" si="2"/>
        <v>0.65</v>
      </c>
      <c r="AD23" s="9">
        <f t="shared" si="3"/>
        <v>0</v>
      </c>
      <c r="AE23" s="9">
        <f t="shared" si="4"/>
        <v>0.35</v>
      </c>
      <c r="AF23" s="9">
        <f t="shared" si="0"/>
        <v>0</v>
      </c>
      <c r="AG23" s="13">
        <f t="shared" si="5"/>
        <v>0.35</v>
      </c>
      <c r="AH23" s="13"/>
    </row>
    <row r="24" spans="1:34" x14ac:dyDescent="0.3">
      <c r="C24" s="18" t="s">
        <v>88</v>
      </c>
      <c r="D24" s="10" t="s">
        <v>12</v>
      </c>
      <c r="E24" s="23" t="s">
        <v>39</v>
      </c>
      <c r="F24" s="24" t="s">
        <v>39</v>
      </c>
      <c r="G24" s="23" t="s">
        <v>39</v>
      </c>
      <c r="H24" s="24" t="s">
        <v>39</v>
      </c>
      <c r="I24" s="23" t="s">
        <v>39</v>
      </c>
      <c r="J24" s="24" t="s">
        <v>39</v>
      </c>
      <c r="K24" s="23" t="s">
        <v>39</v>
      </c>
      <c r="L24" s="24" t="s">
        <v>39</v>
      </c>
      <c r="M24" s="23" t="s">
        <v>39</v>
      </c>
      <c r="N24" s="24" t="s">
        <v>39</v>
      </c>
      <c r="O24" s="23" t="s">
        <v>39</v>
      </c>
      <c r="P24" s="24" t="s">
        <v>39</v>
      </c>
      <c r="Q24" s="23" t="s">
        <v>39</v>
      </c>
      <c r="R24" s="24" t="s">
        <v>39</v>
      </c>
      <c r="S24" s="23" t="s">
        <v>39</v>
      </c>
      <c r="T24" s="24" t="s">
        <v>39</v>
      </c>
      <c r="U24" s="23" t="s">
        <v>40</v>
      </c>
      <c r="V24" s="24" t="s">
        <v>39</v>
      </c>
      <c r="W24" s="23" t="s">
        <v>39</v>
      </c>
      <c r="X24" s="46"/>
      <c r="Y24" s="31" t="s">
        <v>39</v>
      </c>
      <c r="Z24" s="24" t="s">
        <v>39</v>
      </c>
      <c r="AB24" s="6">
        <f t="shared" ref="AB24" si="18">COUNTA(E24:Z24)</f>
        <v>21</v>
      </c>
      <c r="AC24" s="26">
        <f t="shared" ref="AC24" si="19">COUNTIF($E24:$Z24,"P")/AB24</f>
        <v>0.95238095238095233</v>
      </c>
      <c r="AD24" s="9">
        <f t="shared" ref="AD24" si="20">COUNTIF($E24:$Z24,"A")/AB24</f>
        <v>0</v>
      </c>
      <c r="AE24" s="9">
        <f t="shared" ref="AE24" si="21">COUNTIF($E24:$Z24,"E")/AB24</f>
        <v>4.7619047619047616E-2</v>
      </c>
      <c r="AF24" s="9">
        <f t="shared" ref="AF24" si="22">IF(B24&lt;&gt;"OUI",COUNTIF($E24:$Z24,"Disp")/AB24,1)</f>
        <v>0</v>
      </c>
      <c r="AG24" s="13">
        <f t="shared" ref="AG24" si="23">AD24+AE24</f>
        <v>4.7619047619047616E-2</v>
      </c>
      <c r="AH24" s="13"/>
    </row>
    <row r="25" spans="1:34" x14ac:dyDescent="0.3">
      <c r="C25" s="18" t="s">
        <v>61</v>
      </c>
      <c r="D25" s="10" t="s">
        <v>13</v>
      </c>
      <c r="E25" s="23" t="s">
        <v>40</v>
      </c>
      <c r="F25" s="24" t="s">
        <v>40</v>
      </c>
      <c r="G25" s="33"/>
      <c r="H25" s="32"/>
      <c r="I25" s="33"/>
      <c r="J25" s="32"/>
      <c r="K25" s="33"/>
      <c r="L25" s="32"/>
      <c r="M25" s="33"/>
      <c r="N25" s="32"/>
      <c r="O25" s="33"/>
      <c r="P25" s="32"/>
      <c r="Q25" s="33"/>
      <c r="R25" s="32"/>
      <c r="S25" s="33"/>
      <c r="T25" s="32"/>
      <c r="U25" s="33"/>
      <c r="V25" s="32"/>
      <c r="W25" s="33"/>
      <c r="X25" s="36"/>
      <c r="Y25" s="34"/>
      <c r="Z25" s="32"/>
      <c r="AB25" s="6">
        <f t="shared" si="1"/>
        <v>2</v>
      </c>
      <c r="AC25" s="26">
        <f t="shared" si="2"/>
        <v>0</v>
      </c>
      <c r="AD25" s="9">
        <f t="shared" si="3"/>
        <v>0</v>
      </c>
      <c r="AE25" s="9">
        <f t="shared" si="4"/>
        <v>1</v>
      </c>
      <c r="AF25" s="9">
        <f t="shared" si="0"/>
        <v>0</v>
      </c>
      <c r="AG25" s="13">
        <f t="shared" si="5"/>
        <v>1</v>
      </c>
      <c r="AH25" s="13"/>
    </row>
    <row r="26" spans="1:34" x14ac:dyDescent="0.3">
      <c r="C26" s="18" t="s">
        <v>62</v>
      </c>
      <c r="D26" s="10" t="s">
        <v>12</v>
      </c>
      <c r="E26" s="23" t="s">
        <v>39</v>
      </c>
      <c r="F26" s="24" t="s">
        <v>39</v>
      </c>
      <c r="G26" s="23" t="s">
        <v>40</v>
      </c>
      <c r="H26" s="24" t="s">
        <v>40</v>
      </c>
      <c r="I26" s="23" t="s">
        <v>39</v>
      </c>
      <c r="J26" s="24" t="s">
        <v>39</v>
      </c>
      <c r="K26" s="23" t="s">
        <v>40</v>
      </c>
      <c r="L26" s="24" t="s">
        <v>40</v>
      </c>
      <c r="M26" s="23" t="s">
        <v>39</v>
      </c>
      <c r="N26" s="24" t="s">
        <v>39</v>
      </c>
      <c r="O26" s="23" t="s">
        <v>40</v>
      </c>
      <c r="P26" s="24" t="s">
        <v>39</v>
      </c>
      <c r="Q26" s="23" t="s">
        <v>40</v>
      </c>
      <c r="R26" s="24" t="s">
        <v>39</v>
      </c>
      <c r="S26" s="23" t="s">
        <v>39</v>
      </c>
      <c r="T26" s="24" t="s">
        <v>39</v>
      </c>
      <c r="U26" s="23" t="s">
        <v>39</v>
      </c>
      <c r="V26" s="24" t="s">
        <v>39</v>
      </c>
      <c r="W26" s="23" t="s">
        <v>40</v>
      </c>
      <c r="X26" s="46"/>
      <c r="Y26" s="31" t="s">
        <v>39</v>
      </c>
      <c r="Z26" s="24" t="s">
        <v>39</v>
      </c>
      <c r="AB26" s="6">
        <f t="shared" si="1"/>
        <v>21</v>
      </c>
      <c r="AC26" s="26">
        <f t="shared" si="2"/>
        <v>0.66666666666666663</v>
      </c>
      <c r="AD26" s="9">
        <f t="shared" si="3"/>
        <v>0</v>
      </c>
      <c r="AE26" s="9">
        <f t="shared" si="4"/>
        <v>0.33333333333333331</v>
      </c>
      <c r="AF26" s="9">
        <f t="shared" si="0"/>
        <v>0</v>
      </c>
      <c r="AG26" s="13">
        <f t="shared" si="5"/>
        <v>0.33333333333333331</v>
      </c>
      <c r="AH26" s="13"/>
    </row>
    <row r="27" spans="1:34" x14ac:dyDescent="0.3">
      <c r="C27" s="18" t="s">
        <v>63</v>
      </c>
      <c r="D27" s="10" t="s">
        <v>12</v>
      </c>
      <c r="E27" s="23" t="s">
        <v>40</v>
      </c>
      <c r="F27" s="24" t="s">
        <v>39</v>
      </c>
      <c r="G27" s="23" t="s">
        <v>40</v>
      </c>
      <c r="H27" s="24" t="s">
        <v>39</v>
      </c>
      <c r="I27" s="23" t="s">
        <v>40</v>
      </c>
      <c r="J27" s="24" t="s">
        <v>40</v>
      </c>
      <c r="K27" s="23" t="s">
        <v>39</v>
      </c>
      <c r="L27" s="24" t="s">
        <v>40</v>
      </c>
      <c r="M27" s="23" t="s">
        <v>40</v>
      </c>
      <c r="N27" s="24" t="s">
        <v>74</v>
      </c>
      <c r="O27" s="23" t="s">
        <v>74</v>
      </c>
      <c r="P27" s="24" t="s">
        <v>74</v>
      </c>
      <c r="Q27" s="23" t="s">
        <v>74</v>
      </c>
      <c r="R27" s="24" t="s">
        <v>74</v>
      </c>
      <c r="S27" s="23" t="s">
        <v>74</v>
      </c>
      <c r="T27" s="24" t="s">
        <v>40</v>
      </c>
      <c r="U27" s="23" t="s">
        <v>74</v>
      </c>
      <c r="V27" s="24" t="s">
        <v>74</v>
      </c>
      <c r="W27" s="23" t="s">
        <v>40</v>
      </c>
      <c r="X27" s="46"/>
      <c r="Y27" s="47"/>
      <c r="Z27" s="24" t="s">
        <v>40</v>
      </c>
      <c r="AB27" s="6">
        <f t="shared" si="1"/>
        <v>20</v>
      </c>
      <c r="AC27" s="26">
        <f t="shared" si="2"/>
        <v>0.15</v>
      </c>
      <c r="AD27" s="9">
        <f t="shared" si="3"/>
        <v>0.4</v>
      </c>
      <c r="AE27" s="9">
        <f t="shared" si="4"/>
        <v>0.45</v>
      </c>
      <c r="AF27" s="9">
        <f t="shared" si="0"/>
        <v>0</v>
      </c>
      <c r="AG27" s="13">
        <f t="shared" si="5"/>
        <v>0.85000000000000009</v>
      </c>
      <c r="AH27" s="13"/>
    </row>
    <row r="28" spans="1:34" x14ac:dyDescent="0.3">
      <c r="A28" s="4" t="s">
        <v>85</v>
      </c>
      <c r="C28" s="18" t="s">
        <v>64</v>
      </c>
      <c r="D28" s="10" t="s">
        <v>13</v>
      </c>
      <c r="E28" s="23" t="s">
        <v>39</v>
      </c>
      <c r="F28" s="24" t="s">
        <v>39</v>
      </c>
      <c r="G28" s="23" t="s">
        <v>40</v>
      </c>
      <c r="H28" s="24" t="s">
        <v>39</v>
      </c>
      <c r="I28" s="23" t="s">
        <v>40</v>
      </c>
      <c r="J28" s="24" t="s">
        <v>40</v>
      </c>
      <c r="K28" s="23" t="s">
        <v>39</v>
      </c>
      <c r="L28" s="24" t="s">
        <v>39</v>
      </c>
      <c r="M28" s="23" t="s">
        <v>39</v>
      </c>
      <c r="N28" s="24" t="s">
        <v>39</v>
      </c>
      <c r="O28" s="23" t="s">
        <v>39</v>
      </c>
      <c r="P28" s="24" t="s">
        <v>40</v>
      </c>
      <c r="Q28" s="23" t="s">
        <v>39</v>
      </c>
      <c r="R28" s="24" t="s">
        <v>39</v>
      </c>
      <c r="S28" s="23" t="s">
        <v>39</v>
      </c>
      <c r="T28" s="24" t="s">
        <v>39</v>
      </c>
      <c r="U28" s="23" t="s">
        <v>40</v>
      </c>
      <c r="V28" s="24" t="s">
        <v>40</v>
      </c>
      <c r="W28" s="23" t="s">
        <v>40</v>
      </c>
      <c r="X28" s="6" t="s">
        <v>40</v>
      </c>
      <c r="Y28" s="31" t="s">
        <v>39</v>
      </c>
      <c r="Z28" s="24" t="s">
        <v>39</v>
      </c>
      <c r="AB28" s="6">
        <f t="shared" si="1"/>
        <v>22</v>
      </c>
      <c r="AC28" s="26">
        <f t="shared" si="2"/>
        <v>0.63636363636363635</v>
      </c>
      <c r="AD28" s="9">
        <f t="shared" si="3"/>
        <v>0</v>
      </c>
      <c r="AE28" s="9">
        <f t="shared" si="4"/>
        <v>0.36363636363636365</v>
      </c>
      <c r="AF28" s="9">
        <f t="shared" si="0"/>
        <v>0</v>
      </c>
      <c r="AG28" s="13">
        <f t="shared" si="5"/>
        <v>0.36363636363636365</v>
      </c>
      <c r="AH28" s="13">
        <f t="shared" si="6"/>
        <v>0.36363636363636365</v>
      </c>
    </row>
    <row r="29" spans="1:34" x14ac:dyDescent="0.3">
      <c r="C29" s="18" t="s">
        <v>65</v>
      </c>
      <c r="D29" s="10" t="s">
        <v>12</v>
      </c>
      <c r="E29" s="23" t="s">
        <v>39</v>
      </c>
      <c r="F29" s="24" t="s">
        <v>40</v>
      </c>
      <c r="G29" s="23" t="s">
        <v>40</v>
      </c>
      <c r="H29" s="24" t="s">
        <v>40</v>
      </c>
      <c r="I29" s="23" t="s">
        <v>40</v>
      </c>
      <c r="J29" s="24" t="s">
        <v>40</v>
      </c>
      <c r="K29" s="23" t="s">
        <v>40</v>
      </c>
      <c r="L29" s="24" t="s">
        <v>39</v>
      </c>
      <c r="M29" s="23" t="s">
        <v>40</v>
      </c>
      <c r="N29" s="24" t="s">
        <v>40</v>
      </c>
      <c r="O29" s="23" t="s">
        <v>40</v>
      </c>
      <c r="P29" s="24" t="s">
        <v>40</v>
      </c>
      <c r="Q29" s="23" t="s">
        <v>40</v>
      </c>
      <c r="R29" s="24" t="s">
        <v>40</v>
      </c>
      <c r="S29" s="23" t="s">
        <v>40</v>
      </c>
      <c r="T29" s="24" t="s">
        <v>40</v>
      </c>
      <c r="U29" s="23" t="s">
        <v>40</v>
      </c>
      <c r="V29" s="24" t="s">
        <v>40</v>
      </c>
      <c r="W29" s="23" t="s">
        <v>40</v>
      </c>
      <c r="X29" s="46"/>
      <c r="Y29" s="47"/>
      <c r="Z29" s="24" t="s">
        <v>40</v>
      </c>
      <c r="AB29" s="6">
        <f t="shared" si="1"/>
        <v>20</v>
      </c>
      <c r="AC29" s="26">
        <f t="shared" si="2"/>
        <v>0.1</v>
      </c>
      <c r="AD29" s="9">
        <f t="shared" si="3"/>
        <v>0</v>
      </c>
      <c r="AE29" s="9">
        <f t="shared" si="4"/>
        <v>0.9</v>
      </c>
      <c r="AF29" s="9">
        <f t="shared" si="0"/>
        <v>0</v>
      </c>
      <c r="AG29" s="13">
        <f t="shared" si="5"/>
        <v>0.9</v>
      </c>
      <c r="AH29" s="13"/>
    </row>
    <row r="30" spans="1:34" x14ac:dyDescent="0.3">
      <c r="C30" s="18" t="s">
        <v>66</v>
      </c>
      <c r="D30" s="10" t="s">
        <v>13</v>
      </c>
      <c r="E30" s="23" t="s">
        <v>40</v>
      </c>
      <c r="F30" s="24" t="s">
        <v>40</v>
      </c>
      <c r="G30" s="23" t="s">
        <v>40</v>
      </c>
      <c r="H30" s="24" t="s">
        <v>40</v>
      </c>
      <c r="I30" s="23" t="s">
        <v>40</v>
      </c>
      <c r="J30" s="24" t="s">
        <v>40</v>
      </c>
      <c r="K30" s="23" t="s">
        <v>40</v>
      </c>
      <c r="L30" s="24" t="s">
        <v>40</v>
      </c>
      <c r="M30" s="23" t="s">
        <v>40</v>
      </c>
      <c r="N30" s="24" t="s">
        <v>74</v>
      </c>
      <c r="O30" s="23" t="s">
        <v>40</v>
      </c>
      <c r="P30" s="24" t="s">
        <v>40</v>
      </c>
      <c r="Q30" s="23" t="s">
        <v>74</v>
      </c>
      <c r="R30" s="24" t="s">
        <v>40</v>
      </c>
      <c r="S30" s="23" t="s">
        <v>40</v>
      </c>
      <c r="T30" s="24" t="s">
        <v>40</v>
      </c>
      <c r="U30" s="23" t="s">
        <v>40</v>
      </c>
      <c r="V30" s="24" t="s">
        <v>40</v>
      </c>
      <c r="W30" s="23" t="s">
        <v>40</v>
      </c>
      <c r="X30" s="6" t="s">
        <v>40</v>
      </c>
      <c r="Y30" s="31" t="s">
        <v>40</v>
      </c>
      <c r="Z30" s="24" t="s">
        <v>40</v>
      </c>
      <c r="AB30" s="6">
        <f t="shared" si="1"/>
        <v>22</v>
      </c>
      <c r="AC30" s="26">
        <f t="shared" si="2"/>
        <v>0</v>
      </c>
      <c r="AD30" s="9">
        <f t="shared" si="3"/>
        <v>9.0909090909090912E-2</v>
      </c>
      <c r="AE30" s="9">
        <f t="shared" si="4"/>
        <v>0.90909090909090906</v>
      </c>
      <c r="AF30" s="9">
        <f t="shared" si="0"/>
        <v>0</v>
      </c>
      <c r="AG30" s="13">
        <f t="shared" si="5"/>
        <v>1</v>
      </c>
      <c r="AH30" s="13"/>
    </row>
    <row r="31" spans="1:34" x14ac:dyDescent="0.3">
      <c r="C31" s="18" t="s">
        <v>75</v>
      </c>
      <c r="D31" s="10" t="s">
        <v>13</v>
      </c>
      <c r="E31" s="33"/>
      <c r="F31" s="32"/>
      <c r="G31" s="33"/>
      <c r="H31" s="32"/>
      <c r="I31" s="33"/>
      <c r="J31" s="32"/>
      <c r="K31" s="33"/>
      <c r="L31" s="32"/>
      <c r="M31" s="23" t="s">
        <v>39</v>
      </c>
      <c r="N31" s="24" t="s">
        <v>39</v>
      </c>
      <c r="O31" s="23" t="s">
        <v>39</v>
      </c>
      <c r="P31" s="24" t="s">
        <v>39</v>
      </c>
      <c r="Q31" s="23" t="s">
        <v>39</v>
      </c>
      <c r="R31" s="24" t="s">
        <v>39</v>
      </c>
      <c r="S31" s="23" t="s">
        <v>39</v>
      </c>
      <c r="T31" s="24" t="s">
        <v>39</v>
      </c>
      <c r="U31" s="23" t="s">
        <v>39</v>
      </c>
      <c r="V31" s="24" t="s">
        <v>39</v>
      </c>
      <c r="W31" s="23" t="s">
        <v>40</v>
      </c>
      <c r="X31" s="6" t="s">
        <v>39</v>
      </c>
      <c r="Y31" s="31" t="s">
        <v>39</v>
      </c>
      <c r="Z31" s="24" t="s">
        <v>39</v>
      </c>
      <c r="AB31" s="6">
        <f t="shared" si="1"/>
        <v>14</v>
      </c>
      <c r="AC31" s="26">
        <f t="shared" si="2"/>
        <v>0.9285714285714286</v>
      </c>
      <c r="AD31" s="9">
        <f t="shared" si="3"/>
        <v>0</v>
      </c>
      <c r="AE31" s="9">
        <f t="shared" si="4"/>
        <v>7.1428571428571425E-2</v>
      </c>
      <c r="AF31" s="9">
        <f t="shared" si="0"/>
        <v>0</v>
      </c>
      <c r="AG31" s="13">
        <f t="shared" si="5"/>
        <v>7.1428571428571425E-2</v>
      </c>
      <c r="AH31" s="13"/>
    </row>
    <row r="32" spans="1:34" x14ac:dyDescent="0.3">
      <c r="C32" s="18" t="s">
        <v>76</v>
      </c>
      <c r="D32" s="10" t="s">
        <v>13</v>
      </c>
      <c r="E32" s="33"/>
      <c r="F32" s="32"/>
      <c r="G32" s="33"/>
      <c r="H32" s="32"/>
      <c r="I32" s="33"/>
      <c r="J32" s="32"/>
      <c r="K32" s="33"/>
      <c r="L32" s="32"/>
      <c r="M32" s="23" t="s">
        <v>39</v>
      </c>
      <c r="N32" s="24" t="s">
        <v>39</v>
      </c>
      <c r="O32" s="23" t="s">
        <v>39</v>
      </c>
      <c r="P32" s="24" t="s">
        <v>39</v>
      </c>
      <c r="Q32" s="23" t="s">
        <v>39</v>
      </c>
      <c r="R32" s="24" t="s">
        <v>40</v>
      </c>
      <c r="S32" s="23" t="s">
        <v>39</v>
      </c>
      <c r="T32" s="24" t="s">
        <v>39</v>
      </c>
      <c r="U32" s="23" t="s">
        <v>39</v>
      </c>
      <c r="V32" s="24" t="s">
        <v>40</v>
      </c>
      <c r="W32" s="23" t="s">
        <v>40</v>
      </c>
      <c r="X32" s="6" t="s">
        <v>40</v>
      </c>
      <c r="Y32" s="31" t="s">
        <v>40</v>
      </c>
      <c r="Z32" s="24" t="s">
        <v>40</v>
      </c>
      <c r="AB32" s="6">
        <f t="shared" si="1"/>
        <v>14</v>
      </c>
      <c r="AC32" s="26">
        <f t="shared" si="2"/>
        <v>0.5714285714285714</v>
      </c>
      <c r="AD32" s="9">
        <f t="shared" si="3"/>
        <v>0</v>
      </c>
      <c r="AE32" s="9">
        <f t="shared" si="4"/>
        <v>0.42857142857142855</v>
      </c>
      <c r="AF32" s="9">
        <f t="shared" si="0"/>
        <v>0</v>
      </c>
      <c r="AG32" s="13">
        <f t="shared" si="5"/>
        <v>0.42857142857142855</v>
      </c>
      <c r="AH32" s="13"/>
    </row>
    <row r="33" spans="1:35" x14ac:dyDescent="0.3">
      <c r="A33" s="4" t="s">
        <v>72</v>
      </c>
      <c r="C33" s="18" t="s">
        <v>67</v>
      </c>
      <c r="D33" s="10" t="s">
        <v>13</v>
      </c>
      <c r="E33" s="23" t="s">
        <v>39</v>
      </c>
      <c r="F33" s="24" t="s">
        <v>39</v>
      </c>
      <c r="G33" s="23" t="s">
        <v>39</v>
      </c>
      <c r="H33" s="24" t="s">
        <v>39</v>
      </c>
      <c r="I33" s="23" t="s">
        <v>39</v>
      </c>
      <c r="J33" s="24" t="s">
        <v>39</v>
      </c>
      <c r="K33" s="23" t="s">
        <v>39</v>
      </c>
      <c r="L33" s="24" t="s">
        <v>39</v>
      </c>
      <c r="M33" s="23" t="s">
        <v>40</v>
      </c>
      <c r="N33" s="24" t="s">
        <v>39</v>
      </c>
      <c r="O33" s="23" t="s">
        <v>39</v>
      </c>
      <c r="P33" s="24" t="s">
        <v>39</v>
      </c>
      <c r="Q33" s="23" t="s">
        <v>39</v>
      </c>
      <c r="R33" s="24" t="s">
        <v>39</v>
      </c>
      <c r="S33" s="23" t="s">
        <v>39</v>
      </c>
      <c r="T33" s="24" t="s">
        <v>39</v>
      </c>
      <c r="U33" s="23" t="s">
        <v>40</v>
      </c>
      <c r="V33" s="24" t="s">
        <v>40</v>
      </c>
      <c r="W33" s="23" t="s">
        <v>40</v>
      </c>
      <c r="X33" s="6" t="s">
        <v>39</v>
      </c>
      <c r="Y33" s="31" t="s">
        <v>39</v>
      </c>
      <c r="Z33" s="24" t="s">
        <v>39</v>
      </c>
      <c r="AB33" s="6">
        <f t="shared" si="1"/>
        <v>22</v>
      </c>
      <c r="AC33" s="26">
        <f t="shared" si="2"/>
        <v>0.81818181818181823</v>
      </c>
      <c r="AD33" s="9">
        <f t="shared" si="3"/>
        <v>0</v>
      </c>
      <c r="AE33" s="9">
        <f t="shared" si="4"/>
        <v>0.18181818181818182</v>
      </c>
      <c r="AF33" s="9">
        <f t="shared" si="0"/>
        <v>0</v>
      </c>
      <c r="AG33" s="13">
        <f t="shared" si="5"/>
        <v>0.18181818181818182</v>
      </c>
      <c r="AH33" s="13">
        <f t="shared" si="6"/>
        <v>0.18181818181818182</v>
      </c>
    </row>
    <row r="34" spans="1:35" x14ac:dyDescent="0.3">
      <c r="A34" s="4" t="s">
        <v>42</v>
      </c>
      <c r="C34" s="18" t="s">
        <v>69</v>
      </c>
      <c r="D34" s="10" t="s">
        <v>13</v>
      </c>
      <c r="E34" s="23" t="s">
        <v>39</v>
      </c>
      <c r="F34" s="24" t="s">
        <v>39</v>
      </c>
      <c r="G34" s="23" t="s">
        <v>39</v>
      </c>
      <c r="H34" s="24" t="s">
        <v>40</v>
      </c>
      <c r="I34" s="23" t="s">
        <v>39</v>
      </c>
      <c r="J34" s="24" t="s">
        <v>39</v>
      </c>
      <c r="K34" s="23" t="s">
        <v>39</v>
      </c>
      <c r="L34" s="24" t="s">
        <v>39</v>
      </c>
      <c r="M34" s="23" t="s">
        <v>39</v>
      </c>
      <c r="N34" s="24" t="s">
        <v>40</v>
      </c>
      <c r="O34" s="23" t="s">
        <v>40</v>
      </c>
      <c r="P34" s="24" t="s">
        <v>39</v>
      </c>
      <c r="Q34" s="23" t="s">
        <v>40</v>
      </c>
      <c r="R34" s="24" t="s">
        <v>40</v>
      </c>
      <c r="S34" s="23" t="s">
        <v>39</v>
      </c>
      <c r="T34" s="24" t="s">
        <v>39</v>
      </c>
      <c r="U34" s="23" t="s">
        <v>39</v>
      </c>
      <c r="V34" s="24" t="s">
        <v>39</v>
      </c>
      <c r="W34" s="23" t="s">
        <v>39</v>
      </c>
      <c r="X34" s="6" t="s">
        <v>39</v>
      </c>
      <c r="Y34" s="31" t="s">
        <v>39</v>
      </c>
      <c r="Z34" s="24" t="s">
        <v>39</v>
      </c>
      <c r="AB34" s="6">
        <f t="shared" si="1"/>
        <v>22</v>
      </c>
      <c r="AC34" s="26">
        <f t="shared" si="2"/>
        <v>0.77272727272727271</v>
      </c>
      <c r="AD34" s="9">
        <f t="shared" si="3"/>
        <v>0</v>
      </c>
      <c r="AE34" s="9">
        <f t="shared" si="4"/>
        <v>0.22727272727272727</v>
      </c>
      <c r="AF34" s="9">
        <f t="shared" si="0"/>
        <v>0</v>
      </c>
      <c r="AG34" s="13">
        <f t="shared" si="5"/>
        <v>0.22727272727272727</v>
      </c>
      <c r="AH34" s="13">
        <f t="shared" si="6"/>
        <v>0.22727272727272727</v>
      </c>
    </row>
    <row r="35" spans="1:35" x14ac:dyDescent="0.3">
      <c r="C35" s="18"/>
      <c r="E35" s="23"/>
      <c r="F35" s="24"/>
      <c r="G35" s="23"/>
      <c r="H35" s="24"/>
      <c r="I35" s="23"/>
      <c r="J35" s="24"/>
      <c r="K35" s="23"/>
      <c r="L35" s="24"/>
      <c r="M35" s="23"/>
      <c r="N35" s="24"/>
      <c r="O35" s="23"/>
      <c r="P35" s="24"/>
      <c r="Q35" s="23"/>
      <c r="R35" s="24"/>
      <c r="S35" s="23"/>
      <c r="T35" s="24"/>
      <c r="U35" s="23"/>
      <c r="V35" s="24"/>
      <c r="W35" s="23"/>
      <c r="X35" s="6"/>
      <c r="Y35" s="31"/>
      <c r="Z35" s="24"/>
      <c r="AB35" s="6"/>
      <c r="AC35" s="26"/>
      <c r="AD35" s="9"/>
      <c r="AE35" s="9"/>
      <c r="AF35" s="9"/>
      <c r="AG35" s="13"/>
      <c r="AH35" s="13"/>
    </row>
    <row r="36" spans="1:35" x14ac:dyDescent="0.3">
      <c r="C36" s="18"/>
      <c r="E36" s="23"/>
      <c r="F36" s="24"/>
      <c r="G36" s="23"/>
      <c r="H36" s="24"/>
      <c r="I36" s="23"/>
      <c r="J36" s="24"/>
      <c r="K36" s="23"/>
      <c r="L36" s="24"/>
      <c r="M36" s="23"/>
      <c r="N36" s="24"/>
      <c r="O36" s="23"/>
      <c r="P36" s="24"/>
      <c r="Q36" s="23"/>
      <c r="R36" s="24"/>
      <c r="S36" s="23"/>
      <c r="T36" s="24"/>
      <c r="U36" s="23"/>
      <c r="V36" s="24"/>
      <c r="W36" s="23"/>
      <c r="X36" s="6"/>
      <c r="Y36" s="31"/>
      <c r="Z36" s="24"/>
      <c r="AB36" s="6"/>
      <c r="AC36" s="26"/>
      <c r="AD36" s="9"/>
      <c r="AE36" s="9"/>
      <c r="AF36" s="9"/>
      <c r="AG36" s="13"/>
      <c r="AH36" s="6"/>
    </row>
    <row r="37" spans="1:35" x14ac:dyDescent="0.3">
      <c r="C37" s="18"/>
      <c r="E37" s="23"/>
      <c r="F37" s="24"/>
      <c r="G37" s="23"/>
      <c r="H37" s="24"/>
      <c r="I37" s="23"/>
      <c r="J37" s="24"/>
      <c r="K37" s="23"/>
      <c r="L37" s="24"/>
      <c r="M37" s="23"/>
      <c r="N37" s="24"/>
      <c r="O37" s="23"/>
      <c r="P37" s="24"/>
      <c r="Q37" s="23"/>
      <c r="R37" s="24"/>
      <c r="S37" s="23"/>
      <c r="T37" s="24"/>
      <c r="U37" s="23"/>
      <c r="V37" s="24"/>
      <c r="W37" s="23"/>
      <c r="X37" s="6"/>
      <c r="Y37" s="31"/>
      <c r="Z37" s="24"/>
      <c r="AB37" s="6"/>
      <c r="AC37" s="26"/>
      <c r="AD37" s="9"/>
      <c r="AE37" s="9"/>
      <c r="AF37" s="9"/>
      <c r="AG37" s="13"/>
      <c r="AH37" s="13"/>
    </row>
    <row r="38" spans="1:35" x14ac:dyDescent="0.3">
      <c r="C38" s="18"/>
      <c r="E38" s="23"/>
      <c r="F38" s="24"/>
      <c r="G38" s="23"/>
      <c r="H38" s="24"/>
      <c r="I38" s="23"/>
      <c r="J38" s="24"/>
      <c r="K38" s="23"/>
      <c r="L38" s="24"/>
      <c r="M38" s="23"/>
      <c r="N38" s="24"/>
      <c r="O38" s="23"/>
      <c r="P38" s="24"/>
      <c r="Q38" s="23"/>
      <c r="R38" s="24"/>
      <c r="S38" s="23"/>
      <c r="T38" s="24"/>
      <c r="U38" s="23"/>
      <c r="V38" s="24"/>
      <c r="W38" s="23"/>
      <c r="X38" s="6"/>
      <c r="Y38" s="31"/>
      <c r="Z38" s="24"/>
      <c r="AB38" s="6"/>
      <c r="AC38" s="26"/>
      <c r="AD38" s="9"/>
      <c r="AE38" s="9"/>
      <c r="AF38" s="9"/>
      <c r="AG38" s="13"/>
      <c r="AH38" s="13"/>
    </row>
    <row r="39" spans="1:35" x14ac:dyDescent="0.3">
      <c r="C39" s="18"/>
      <c r="E39" s="23"/>
      <c r="F39" s="24"/>
      <c r="G39" s="23"/>
      <c r="H39" s="24"/>
      <c r="I39" s="23"/>
      <c r="J39" s="24"/>
      <c r="K39" s="23"/>
      <c r="L39" s="24"/>
      <c r="M39" s="23"/>
      <c r="N39" s="24"/>
      <c r="O39" s="23"/>
      <c r="P39" s="24"/>
      <c r="Q39" s="23"/>
      <c r="R39" s="24"/>
      <c r="S39" s="23"/>
      <c r="T39" s="24"/>
      <c r="U39" s="23"/>
      <c r="V39" s="24"/>
      <c r="W39" s="23"/>
      <c r="X39" s="6"/>
      <c r="Y39" s="31"/>
      <c r="Z39" s="24"/>
      <c r="AB39" s="6"/>
      <c r="AC39" s="26"/>
      <c r="AD39" s="9"/>
      <c r="AE39" s="9"/>
      <c r="AF39" s="9"/>
      <c r="AG39" s="13"/>
      <c r="AH39" s="6"/>
    </row>
    <row r="40" spans="1:35" x14ac:dyDescent="0.3">
      <c r="AH40" s="38"/>
      <c r="AI40" s="39"/>
    </row>
    <row r="41" spans="1:35" x14ac:dyDescent="0.3">
      <c r="C41" s="11" t="s">
        <v>19</v>
      </c>
      <c r="E41" s="7">
        <f>SUM(E42:E45)</f>
        <v>28</v>
      </c>
      <c r="F41" s="7">
        <f t="shared" ref="F41:V41" si="24">SUM(F42:F45)</f>
        <v>28</v>
      </c>
      <c r="G41" s="7">
        <f t="shared" si="24"/>
        <v>27</v>
      </c>
      <c r="H41" s="7">
        <f t="shared" si="24"/>
        <v>27</v>
      </c>
      <c r="I41" s="7">
        <f t="shared" si="24"/>
        <v>27</v>
      </c>
      <c r="J41" s="7">
        <f t="shared" si="24"/>
        <v>27</v>
      </c>
      <c r="K41" s="7">
        <f t="shared" si="24"/>
        <v>26</v>
      </c>
      <c r="L41" s="7">
        <f t="shared" si="24"/>
        <v>26</v>
      </c>
      <c r="M41" s="7">
        <f t="shared" si="24"/>
        <v>28</v>
      </c>
      <c r="N41" s="7">
        <f t="shared" si="24"/>
        <v>28</v>
      </c>
      <c r="O41" s="7">
        <f t="shared" si="24"/>
        <v>28</v>
      </c>
      <c r="P41" s="7">
        <f t="shared" si="24"/>
        <v>28</v>
      </c>
      <c r="Q41" s="7">
        <f t="shared" si="24"/>
        <v>28</v>
      </c>
      <c r="R41" s="7">
        <f t="shared" si="24"/>
        <v>28</v>
      </c>
      <c r="S41" s="7">
        <f t="shared" si="24"/>
        <v>28</v>
      </c>
      <c r="T41" s="7">
        <f t="shared" si="24"/>
        <v>28</v>
      </c>
      <c r="U41" s="7">
        <f t="shared" si="24"/>
        <v>28</v>
      </c>
      <c r="V41" s="7">
        <f t="shared" si="24"/>
        <v>28</v>
      </c>
      <c r="W41" s="7">
        <f>SUM(W42:W45)</f>
        <v>28</v>
      </c>
      <c r="X41" s="7">
        <f t="shared" ref="X41:Y41" si="25">SUM(X42:X45)</f>
        <v>24</v>
      </c>
      <c r="Y41" s="7">
        <f t="shared" si="25"/>
        <v>26</v>
      </c>
      <c r="Z41" s="7">
        <f t="shared" ref="Z41" si="26">SUM(Z42:Z45)</f>
        <v>29</v>
      </c>
      <c r="AB41" s="10"/>
    </row>
    <row r="42" spans="1:35" x14ac:dyDescent="0.3">
      <c r="C42" s="11" t="s">
        <v>15</v>
      </c>
      <c r="E42" s="19">
        <f t="shared" ref="E42:Z42" si="27">COUNTIF(E4:E39,"P")</f>
        <v>19</v>
      </c>
      <c r="F42" s="19">
        <f t="shared" si="27"/>
        <v>17</v>
      </c>
      <c r="G42" s="19">
        <f t="shared" si="27"/>
        <v>15</v>
      </c>
      <c r="H42" s="19">
        <f t="shared" si="27"/>
        <v>17</v>
      </c>
      <c r="I42" s="19">
        <f t="shared" si="27"/>
        <v>16</v>
      </c>
      <c r="J42" s="19">
        <f t="shared" si="27"/>
        <v>19</v>
      </c>
      <c r="K42" s="19">
        <f t="shared" si="27"/>
        <v>19</v>
      </c>
      <c r="L42" s="19">
        <f t="shared" si="27"/>
        <v>18</v>
      </c>
      <c r="M42" s="19">
        <f t="shared" si="27"/>
        <v>16</v>
      </c>
      <c r="N42" s="19">
        <f t="shared" si="27"/>
        <v>18</v>
      </c>
      <c r="O42" s="19">
        <f t="shared" si="27"/>
        <v>19</v>
      </c>
      <c r="P42" s="19">
        <f t="shared" si="27"/>
        <v>18</v>
      </c>
      <c r="Q42" s="19">
        <f t="shared" si="27"/>
        <v>17</v>
      </c>
      <c r="R42" s="19">
        <f t="shared" si="27"/>
        <v>17</v>
      </c>
      <c r="S42" s="19">
        <f t="shared" si="27"/>
        <v>17</v>
      </c>
      <c r="T42" s="19">
        <f t="shared" si="27"/>
        <v>19</v>
      </c>
      <c r="U42" s="19">
        <f t="shared" si="27"/>
        <v>15</v>
      </c>
      <c r="V42" s="19">
        <f t="shared" si="27"/>
        <v>15</v>
      </c>
      <c r="W42" s="19">
        <f t="shared" si="27"/>
        <v>13</v>
      </c>
      <c r="X42" s="19">
        <f t="shared" si="27"/>
        <v>15</v>
      </c>
      <c r="Y42" s="19">
        <f t="shared" si="27"/>
        <v>19</v>
      </c>
      <c r="Z42" s="19">
        <f t="shared" si="27"/>
        <v>20</v>
      </c>
      <c r="AB42" s="10"/>
      <c r="AD42" s="29"/>
      <c r="AE42" s="29"/>
    </row>
    <row r="43" spans="1:35" x14ac:dyDescent="0.3">
      <c r="C43" s="11" t="s">
        <v>17</v>
      </c>
      <c r="E43" s="7">
        <f t="shared" ref="E43:Z43" si="28">COUNTIF(E4:E39,"A")</f>
        <v>2</v>
      </c>
      <c r="F43" s="7">
        <f t="shared" si="28"/>
        <v>3</v>
      </c>
      <c r="G43" s="7">
        <f t="shared" si="28"/>
        <v>2</v>
      </c>
      <c r="H43" s="7">
        <f t="shared" si="28"/>
        <v>2</v>
      </c>
      <c r="I43" s="7">
        <f t="shared" si="28"/>
        <v>3</v>
      </c>
      <c r="J43" s="7">
        <f t="shared" si="28"/>
        <v>1</v>
      </c>
      <c r="K43" s="7">
        <f t="shared" si="28"/>
        <v>2</v>
      </c>
      <c r="L43" s="7">
        <f t="shared" si="28"/>
        <v>2</v>
      </c>
      <c r="M43" s="7">
        <f t="shared" si="28"/>
        <v>2</v>
      </c>
      <c r="N43" s="7">
        <f t="shared" si="28"/>
        <v>4</v>
      </c>
      <c r="O43" s="7">
        <f t="shared" si="28"/>
        <v>2</v>
      </c>
      <c r="P43" s="7">
        <f t="shared" si="28"/>
        <v>2</v>
      </c>
      <c r="Q43" s="7">
        <f t="shared" si="28"/>
        <v>3</v>
      </c>
      <c r="R43" s="7">
        <f t="shared" si="28"/>
        <v>1</v>
      </c>
      <c r="S43" s="7">
        <f t="shared" si="28"/>
        <v>2</v>
      </c>
      <c r="T43" s="7">
        <f t="shared" si="28"/>
        <v>1</v>
      </c>
      <c r="U43" s="7">
        <f t="shared" si="28"/>
        <v>2</v>
      </c>
      <c r="V43" s="7">
        <f t="shared" si="28"/>
        <v>2</v>
      </c>
      <c r="W43" s="7">
        <f t="shared" si="28"/>
        <v>0</v>
      </c>
      <c r="X43" s="7">
        <f t="shared" si="28"/>
        <v>0</v>
      </c>
      <c r="Y43" s="7">
        <f t="shared" si="28"/>
        <v>0</v>
      </c>
      <c r="Z43" s="7">
        <f t="shared" si="28"/>
        <v>0</v>
      </c>
      <c r="AB43" s="10"/>
      <c r="AD43" s="29"/>
    </row>
    <row r="44" spans="1:35" x14ac:dyDescent="0.3">
      <c r="C44" s="11" t="s">
        <v>16</v>
      </c>
      <c r="E44" s="7">
        <f t="shared" ref="E44:Z44" si="29">COUNTIF(E4:E39,"E")</f>
        <v>7</v>
      </c>
      <c r="F44" s="7">
        <f t="shared" si="29"/>
        <v>8</v>
      </c>
      <c r="G44" s="7">
        <f t="shared" si="29"/>
        <v>10</v>
      </c>
      <c r="H44" s="7">
        <f t="shared" si="29"/>
        <v>8</v>
      </c>
      <c r="I44" s="7">
        <f t="shared" si="29"/>
        <v>8</v>
      </c>
      <c r="J44" s="7">
        <f t="shared" si="29"/>
        <v>7</v>
      </c>
      <c r="K44" s="7">
        <f t="shared" si="29"/>
        <v>5</v>
      </c>
      <c r="L44" s="7">
        <f t="shared" si="29"/>
        <v>6</v>
      </c>
      <c r="M44" s="7">
        <f t="shared" si="29"/>
        <v>10</v>
      </c>
      <c r="N44" s="7">
        <f t="shared" si="29"/>
        <v>6</v>
      </c>
      <c r="O44" s="7">
        <f t="shared" si="29"/>
        <v>7</v>
      </c>
      <c r="P44" s="7">
        <f t="shared" si="29"/>
        <v>8</v>
      </c>
      <c r="Q44" s="7">
        <f t="shared" si="29"/>
        <v>8</v>
      </c>
      <c r="R44" s="7">
        <f t="shared" si="29"/>
        <v>10</v>
      </c>
      <c r="S44" s="7">
        <f t="shared" si="29"/>
        <v>9</v>
      </c>
      <c r="T44" s="7">
        <f t="shared" si="29"/>
        <v>8</v>
      </c>
      <c r="U44" s="7">
        <f t="shared" si="29"/>
        <v>11</v>
      </c>
      <c r="V44" s="7">
        <f t="shared" si="29"/>
        <v>11</v>
      </c>
      <c r="W44" s="7">
        <f t="shared" si="29"/>
        <v>15</v>
      </c>
      <c r="X44" s="7">
        <f t="shared" si="29"/>
        <v>9</v>
      </c>
      <c r="Y44" s="7">
        <f t="shared" si="29"/>
        <v>7</v>
      </c>
      <c r="Z44" s="7">
        <f t="shared" si="29"/>
        <v>9</v>
      </c>
      <c r="AB44" s="10"/>
      <c r="AD44" s="29"/>
    </row>
    <row r="45" spans="1:35" x14ac:dyDescent="0.3">
      <c r="C45" s="11" t="s">
        <v>18</v>
      </c>
      <c r="E45" s="7">
        <f t="shared" ref="E45:Z45" si="30">COUNTIF(E4:E39,"Disp")</f>
        <v>0</v>
      </c>
      <c r="F45" s="7">
        <f t="shared" si="30"/>
        <v>0</v>
      </c>
      <c r="G45" s="7">
        <f t="shared" si="30"/>
        <v>0</v>
      </c>
      <c r="H45" s="7">
        <f t="shared" si="30"/>
        <v>0</v>
      </c>
      <c r="I45" s="7">
        <f t="shared" si="30"/>
        <v>0</v>
      </c>
      <c r="J45" s="7">
        <f t="shared" si="30"/>
        <v>0</v>
      </c>
      <c r="K45" s="7">
        <f t="shared" si="30"/>
        <v>0</v>
      </c>
      <c r="L45" s="7">
        <f t="shared" si="30"/>
        <v>0</v>
      </c>
      <c r="M45" s="7">
        <f t="shared" si="30"/>
        <v>0</v>
      </c>
      <c r="N45" s="7">
        <f t="shared" si="30"/>
        <v>0</v>
      </c>
      <c r="O45" s="7">
        <f t="shared" si="30"/>
        <v>0</v>
      </c>
      <c r="P45" s="7">
        <f t="shared" si="30"/>
        <v>0</v>
      </c>
      <c r="Q45" s="7">
        <f t="shared" si="30"/>
        <v>0</v>
      </c>
      <c r="R45" s="7">
        <f t="shared" si="30"/>
        <v>0</v>
      </c>
      <c r="S45" s="7">
        <f t="shared" si="30"/>
        <v>0</v>
      </c>
      <c r="T45" s="7">
        <f t="shared" si="30"/>
        <v>0</v>
      </c>
      <c r="U45" s="7">
        <f t="shared" si="30"/>
        <v>0</v>
      </c>
      <c r="V45" s="7">
        <f t="shared" si="30"/>
        <v>0</v>
      </c>
      <c r="W45" s="7">
        <f t="shared" si="30"/>
        <v>0</v>
      </c>
      <c r="X45" s="7">
        <f t="shared" si="30"/>
        <v>0</v>
      </c>
      <c r="Y45" s="7">
        <f t="shared" si="30"/>
        <v>0</v>
      </c>
      <c r="Z45" s="7">
        <f t="shared" si="30"/>
        <v>0</v>
      </c>
      <c r="AB45" s="10"/>
      <c r="AD45" s="29"/>
    </row>
    <row r="47" spans="1:35" x14ac:dyDescent="0.3">
      <c r="C47" s="12" t="s">
        <v>20</v>
      </c>
      <c r="E47" s="25">
        <f>IF(E41=0,"",E42/E41)</f>
        <v>0.6785714285714286</v>
      </c>
      <c r="F47" s="25">
        <f t="shared" ref="F47:V47" si="31">IF(F41=0,"",F42/F41)</f>
        <v>0.6071428571428571</v>
      </c>
      <c r="G47" s="25">
        <f t="shared" si="31"/>
        <v>0.55555555555555558</v>
      </c>
      <c r="H47" s="25">
        <f t="shared" si="31"/>
        <v>0.62962962962962965</v>
      </c>
      <c r="I47" s="25">
        <f t="shared" si="31"/>
        <v>0.59259259259259256</v>
      </c>
      <c r="J47" s="25">
        <f t="shared" si="31"/>
        <v>0.70370370370370372</v>
      </c>
      <c r="K47" s="25">
        <f t="shared" si="31"/>
        <v>0.73076923076923073</v>
      </c>
      <c r="L47" s="25">
        <f t="shared" si="31"/>
        <v>0.69230769230769229</v>
      </c>
      <c r="M47" s="25">
        <f t="shared" si="31"/>
        <v>0.5714285714285714</v>
      </c>
      <c r="N47" s="25">
        <f t="shared" si="31"/>
        <v>0.6428571428571429</v>
      </c>
      <c r="O47" s="25">
        <f t="shared" si="31"/>
        <v>0.6785714285714286</v>
      </c>
      <c r="P47" s="25">
        <f t="shared" si="31"/>
        <v>0.6428571428571429</v>
      </c>
      <c r="Q47" s="25">
        <f t="shared" si="31"/>
        <v>0.6071428571428571</v>
      </c>
      <c r="R47" s="25">
        <f t="shared" si="31"/>
        <v>0.6071428571428571</v>
      </c>
      <c r="S47" s="25">
        <f t="shared" si="31"/>
        <v>0.6071428571428571</v>
      </c>
      <c r="T47" s="25">
        <f t="shared" si="31"/>
        <v>0.6785714285714286</v>
      </c>
      <c r="U47" s="25">
        <f t="shared" si="31"/>
        <v>0.5357142857142857</v>
      </c>
      <c r="V47" s="25">
        <f t="shared" si="31"/>
        <v>0.5357142857142857</v>
      </c>
      <c r="W47" s="25">
        <f t="shared" ref="W47:Z47" si="32">IF(W41=0,"",W42/W41)</f>
        <v>0.4642857142857143</v>
      </c>
      <c r="X47" s="25">
        <f t="shared" si="32"/>
        <v>0.625</v>
      </c>
      <c r="Y47" s="25">
        <f t="shared" si="32"/>
        <v>0.73076923076923073</v>
      </c>
      <c r="Z47" s="25">
        <f t="shared" si="32"/>
        <v>0.68965517241379315</v>
      </c>
    </row>
    <row r="48" spans="1:35" x14ac:dyDescent="0.3">
      <c r="C48" s="12" t="s">
        <v>22</v>
      </c>
      <c r="E48" s="25">
        <f>IF(E41=0,"",E43/E41)</f>
        <v>7.1428571428571425E-2</v>
      </c>
      <c r="F48" s="25">
        <f t="shared" ref="F48:V48" si="33">IF(F41=0,"",F43/F41)</f>
        <v>0.10714285714285714</v>
      </c>
      <c r="G48" s="25">
        <f t="shared" si="33"/>
        <v>7.407407407407407E-2</v>
      </c>
      <c r="H48" s="25">
        <f t="shared" si="33"/>
        <v>7.407407407407407E-2</v>
      </c>
      <c r="I48" s="25">
        <f t="shared" si="33"/>
        <v>0.1111111111111111</v>
      </c>
      <c r="J48" s="25">
        <f t="shared" si="33"/>
        <v>3.7037037037037035E-2</v>
      </c>
      <c r="K48" s="25">
        <f t="shared" si="33"/>
        <v>7.6923076923076927E-2</v>
      </c>
      <c r="L48" s="25">
        <f t="shared" si="33"/>
        <v>7.6923076923076927E-2</v>
      </c>
      <c r="M48" s="25">
        <f t="shared" si="33"/>
        <v>7.1428571428571425E-2</v>
      </c>
      <c r="N48" s="25">
        <f t="shared" si="33"/>
        <v>0.14285714285714285</v>
      </c>
      <c r="O48" s="25">
        <f t="shared" si="33"/>
        <v>7.1428571428571425E-2</v>
      </c>
      <c r="P48" s="25">
        <f t="shared" si="33"/>
        <v>7.1428571428571425E-2</v>
      </c>
      <c r="Q48" s="25">
        <f t="shared" si="33"/>
        <v>0.10714285714285714</v>
      </c>
      <c r="R48" s="25">
        <f t="shared" si="33"/>
        <v>3.5714285714285712E-2</v>
      </c>
      <c r="S48" s="25">
        <f t="shared" si="33"/>
        <v>7.1428571428571425E-2</v>
      </c>
      <c r="T48" s="25">
        <f t="shared" si="33"/>
        <v>3.5714285714285712E-2</v>
      </c>
      <c r="U48" s="25">
        <f t="shared" si="33"/>
        <v>7.1428571428571425E-2</v>
      </c>
      <c r="V48" s="25">
        <f t="shared" si="33"/>
        <v>7.1428571428571425E-2</v>
      </c>
      <c r="W48" s="25">
        <f t="shared" ref="W48:Z48" si="34">IF(W41=0,"",W43/W41)</f>
        <v>0</v>
      </c>
      <c r="X48" s="25">
        <f t="shared" si="34"/>
        <v>0</v>
      </c>
      <c r="Y48" s="25">
        <f t="shared" si="34"/>
        <v>0</v>
      </c>
      <c r="Z48" s="25">
        <f t="shared" si="34"/>
        <v>0</v>
      </c>
    </row>
    <row r="49" spans="3:26" x14ac:dyDescent="0.3">
      <c r="C49" s="12" t="s">
        <v>23</v>
      </c>
      <c r="E49" s="25">
        <f>IF(E41=0,"",E44/E41)</f>
        <v>0.25</v>
      </c>
      <c r="F49" s="25">
        <f t="shared" ref="F49:V49" si="35">IF(F41=0,"",F44/F41)</f>
        <v>0.2857142857142857</v>
      </c>
      <c r="G49" s="25">
        <f t="shared" si="35"/>
        <v>0.37037037037037035</v>
      </c>
      <c r="H49" s="25">
        <f t="shared" si="35"/>
        <v>0.29629629629629628</v>
      </c>
      <c r="I49" s="25">
        <f t="shared" si="35"/>
        <v>0.29629629629629628</v>
      </c>
      <c r="J49" s="25">
        <f t="shared" si="35"/>
        <v>0.25925925925925924</v>
      </c>
      <c r="K49" s="25">
        <f t="shared" si="35"/>
        <v>0.19230769230769232</v>
      </c>
      <c r="L49" s="25">
        <f t="shared" si="35"/>
        <v>0.23076923076923078</v>
      </c>
      <c r="M49" s="25">
        <f t="shared" si="35"/>
        <v>0.35714285714285715</v>
      </c>
      <c r="N49" s="25">
        <f t="shared" si="35"/>
        <v>0.21428571428571427</v>
      </c>
      <c r="O49" s="25">
        <f t="shared" si="35"/>
        <v>0.25</v>
      </c>
      <c r="P49" s="25">
        <f t="shared" si="35"/>
        <v>0.2857142857142857</v>
      </c>
      <c r="Q49" s="25">
        <f t="shared" si="35"/>
        <v>0.2857142857142857</v>
      </c>
      <c r="R49" s="25">
        <f t="shared" si="35"/>
        <v>0.35714285714285715</v>
      </c>
      <c r="S49" s="25">
        <f t="shared" si="35"/>
        <v>0.32142857142857145</v>
      </c>
      <c r="T49" s="25">
        <f t="shared" si="35"/>
        <v>0.2857142857142857</v>
      </c>
      <c r="U49" s="25">
        <f t="shared" si="35"/>
        <v>0.39285714285714285</v>
      </c>
      <c r="V49" s="25">
        <f t="shared" si="35"/>
        <v>0.39285714285714285</v>
      </c>
      <c r="W49" s="25">
        <f t="shared" ref="W49:Z49" si="36">IF(W41=0,"",W44/W41)</f>
        <v>0.5357142857142857</v>
      </c>
      <c r="X49" s="25">
        <f t="shared" si="36"/>
        <v>0.375</v>
      </c>
      <c r="Y49" s="25">
        <f t="shared" si="36"/>
        <v>0.26923076923076922</v>
      </c>
      <c r="Z49" s="25">
        <f t="shared" si="36"/>
        <v>0.31034482758620691</v>
      </c>
    </row>
    <row r="50" spans="3:26" x14ac:dyDescent="0.3">
      <c r="C50" s="12" t="s">
        <v>21</v>
      </c>
      <c r="E50" s="25">
        <f>IF(E41=0,"",E45/E41)</f>
        <v>0</v>
      </c>
      <c r="F50" s="25">
        <f t="shared" ref="F50:V50" si="37">IF(F41=0,"",F45/F41)</f>
        <v>0</v>
      </c>
      <c r="G50" s="25">
        <f t="shared" si="37"/>
        <v>0</v>
      </c>
      <c r="H50" s="25">
        <f t="shared" si="37"/>
        <v>0</v>
      </c>
      <c r="I50" s="25">
        <f t="shared" si="37"/>
        <v>0</v>
      </c>
      <c r="J50" s="25">
        <f t="shared" si="37"/>
        <v>0</v>
      </c>
      <c r="K50" s="25">
        <f t="shared" si="37"/>
        <v>0</v>
      </c>
      <c r="L50" s="25">
        <f t="shared" si="37"/>
        <v>0</v>
      </c>
      <c r="M50" s="25">
        <f t="shared" si="37"/>
        <v>0</v>
      </c>
      <c r="N50" s="25">
        <f t="shared" si="37"/>
        <v>0</v>
      </c>
      <c r="O50" s="25">
        <f t="shared" si="37"/>
        <v>0</v>
      </c>
      <c r="P50" s="25">
        <f t="shared" si="37"/>
        <v>0</v>
      </c>
      <c r="Q50" s="25">
        <f t="shared" si="37"/>
        <v>0</v>
      </c>
      <c r="R50" s="25">
        <f t="shared" si="37"/>
        <v>0</v>
      </c>
      <c r="S50" s="25">
        <f t="shared" si="37"/>
        <v>0</v>
      </c>
      <c r="T50" s="25">
        <f t="shared" si="37"/>
        <v>0</v>
      </c>
      <c r="U50" s="25">
        <f t="shared" si="37"/>
        <v>0</v>
      </c>
      <c r="V50" s="25">
        <f t="shared" si="37"/>
        <v>0</v>
      </c>
      <c r="W50" s="25">
        <f t="shared" ref="W50:Z50" si="38">IF(W41=0,"",W45/W41)</f>
        <v>0</v>
      </c>
      <c r="X50" s="25">
        <f t="shared" si="38"/>
        <v>0</v>
      </c>
      <c r="Y50" s="25">
        <f t="shared" si="38"/>
        <v>0</v>
      </c>
      <c r="Z50" s="25">
        <f t="shared" si="38"/>
        <v>0</v>
      </c>
    </row>
    <row r="51" spans="3:26" x14ac:dyDescent="0.3"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3:26" x14ac:dyDescent="0.3"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3:26" x14ac:dyDescent="0.3">
      <c r="C53" s="5" t="s">
        <v>46</v>
      </c>
      <c r="E53" s="28">
        <f>IF(E41=0,"",E42/(E41-E45))</f>
        <v>0.6785714285714286</v>
      </c>
      <c r="F53" s="28">
        <f t="shared" ref="F53:V53" si="39">IF(F41=0,"",F42/(F41-F45))</f>
        <v>0.6071428571428571</v>
      </c>
      <c r="G53" s="28">
        <f t="shared" si="39"/>
        <v>0.55555555555555558</v>
      </c>
      <c r="H53" s="28">
        <f t="shared" si="39"/>
        <v>0.62962962962962965</v>
      </c>
      <c r="I53" s="28">
        <f t="shared" si="39"/>
        <v>0.59259259259259256</v>
      </c>
      <c r="J53" s="28">
        <f t="shared" si="39"/>
        <v>0.70370370370370372</v>
      </c>
      <c r="K53" s="28">
        <f t="shared" si="39"/>
        <v>0.73076923076923073</v>
      </c>
      <c r="L53" s="28">
        <f t="shared" si="39"/>
        <v>0.69230769230769229</v>
      </c>
      <c r="M53" s="28">
        <f t="shared" si="39"/>
        <v>0.5714285714285714</v>
      </c>
      <c r="N53" s="28">
        <f t="shared" si="39"/>
        <v>0.6428571428571429</v>
      </c>
      <c r="O53" s="28">
        <f t="shared" si="39"/>
        <v>0.6785714285714286</v>
      </c>
      <c r="P53" s="28">
        <f t="shared" si="39"/>
        <v>0.6428571428571429</v>
      </c>
      <c r="Q53" s="28">
        <f t="shared" si="39"/>
        <v>0.6071428571428571</v>
      </c>
      <c r="R53" s="28">
        <f t="shared" si="39"/>
        <v>0.6071428571428571</v>
      </c>
      <c r="S53" s="28">
        <f t="shared" si="39"/>
        <v>0.6071428571428571</v>
      </c>
      <c r="T53" s="28">
        <f t="shared" si="39"/>
        <v>0.6785714285714286</v>
      </c>
      <c r="U53" s="28">
        <f t="shared" si="39"/>
        <v>0.5357142857142857</v>
      </c>
      <c r="V53" s="28">
        <f t="shared" si="39"/>
        <v>0.5357142857142857</v>
      </c>
      <c r="W53" s="28">
        <f t="shared" ref="W53:Z53" si="40">IF(W41=0,"",W42/(W41-W45))</f>
        <v>0.4642857142857143</v>
      </c>
      <c r="X53" s="28">
        <f t="shared" si="40"/>
        <v>0.625</v>
      </c>
      <c r="Y53" s="28">
        <f t="shared" si="40"/>
        <v>0.73076923076923073</v>
      </c>
      <c r="Z53" s="28">
        <f t="shared" si="40"/>
        <v>0.68965517241379315</v>
      </c>
    </row>
    <row r="54" spans="3:26" x14ac:dyDescent="0.3">
      <c r="C54" s="5" t="s">
        <v>47</v>
      </c>
      <c r="E54" s="28">
        <f>IF(E41=0,"",(E44+E43)/(E41-E45))</f>
        <v>0.32142857142857145</v>
      </c>
      <c r="F54" s="28">
        <f t="shared" ref="F54:V54" si="41">IF(F41=0,"",(F44+F43)/(F41-F45))</f>
        <v>0.39285714285714285</v>
      </c>
      <c r="G54" s="28">
        <f t="shared" si="41"/>
        <v>0.44444444444444442</v>
      </c>
      <c r="H54" s="28">
        <f t="shared" si="41"/>
        <v>0.37037037037037035</v>
      </c>
      <c r="I54" s="28">
        <f t="shared" si="41"/>
        <v>0.40740740740740738</v>
      </c>
      <c r="J54" s="28">
        <f t="shared" si="41"/>
        <v>0.29629629629629628</v>
      </c>
      <c r="K54" s="28">
        <f t="shared" si="41"/>
        <v>0.26923076923076922</v>
      </c>
      <c r="L54" s="28">
        <f t="shared" si="41"/>
        <v>0.30769230769230771</v>
      </c>
      <c r="M54" s="28">
        <f t="shared" si="41"/>
        <v>0.42857142857142855</v>
      </c>
      <c r="N54" s="28">
        <f t="shared" si="41"/>
        <v>0.35714285714285715</v>
      </c>
      <c r="O54" s="28">
        <f t="shared" si="41"/>
        <v>0.32142857142857145</v>
      </c>
      <c r="P54" s="28">
        <f t="shared" si="41"/>
        <v>0.35714285714285715</v>
      </c>
      <c r="Q54" s="28">
        <f t="shared" si="41"/>
        <v>0.39285714285714285</v>
      </c>
      <c r="R54" s="28">
        <f t="shared" si="41"/>
        <v>0.39285714285714285</v>
      </c>
      <c r="S54" s="28">
        <f t="shared" si="41"/>
        <v>0.39285714285714285</v>
      </c>
      <c r="T54" s="28">
        <f t="shared" si="41"/>
        <v>0.32142857142857145</v>
      </c>
      <c r="U54" s="28">
        <f t="shared" si="41"/>
        <v>0.4642857142857143</v>
      </c>
      <c r="V54" s="28">
        <f t="shared" si="41"/>
        <v>0.4642857142857143</v>
      </c>
      <c r="W54" s="28">
        <f t="shared" ref="W54:Z54" si="42">IF(W41=0,"",(W44+W43)/(W41-W45))</f>
        <v>0.5357142857142857</v>
      </c>
      <c r="X54" s="28">
        <f t="shared" si="42"/>
        <v>0.375</v>
      </c>
      <c r="Y54" s="28">
        <f t="shared" si="42"/>
        <v>0.26923076923076922</v>
      </c>
      <c r="Z54" s="28">
        <f t="shared" si="42"/>
        <v>0.31034482758620691</v>
      </c>
    </row>
    <row r="56" spans="3:26" x14ac:dyDescent="0.3">
      <c r="C56" t="s">
        <v>30</v>
      </c>
      <c r="D56" s="10">
        <f>COUNTIF(D4:D39,"App∴ ")</f>
        <v>5</v>
      </c>
    </row>
    <row r="57" spans="3:26" x14ac:dyDescent="0.3">
      <c r="C57" t="s">
        <v>31</v>
      </c>
      <c r="D57" s="10">
        <f>COUNTIF(D4:D39,"Comp∴ ")</f>
        <v>1</v>
      </c>
    </row>
    <row r="58" spans="3:26" x14ac:dyDescent="0.3">
      <c r="C58" t="s">
        <v>32</v>
      </c>
      <c r="D58" s="10">
        <f>COUNTIF(D5:D40,"M∴ ")</f>
        <v>24</v>
      </c>
    </row>
  </sheetData>
  <autoFilter ref="A2:AK39" xr:uid="{00000000-0009-0000-0000-000000000000}"/>
  <phoneticPr fontId="2" type="noConversion"/>
  <dataValidations count="2">
    <dataValidation type="list" allowBlank="1" showInputMessage="1" showErrorMessage="1" sqref="E3:Z3 D4:D30 D33:D41" xr:uid="{00000000-0002-0000-0000-000000000000}">
      <formula1>"App∴ ,Comp∴ ,M∴ "</formula1>
    </dataValidation>
    <dataValidation type="list" allowBlank="1" showInputMessage="1" showErrorMessage="1" sqref="E4:Z39" xr:uid="{00000000-0002-0000-0000-000001000000}">
      <formula1>"P,E,A,Disp"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8D53-2B57-4BA0-AED6-D263A7505A8C}">
  <dimension ref="A1:AI56"/>
  <sheetViews>
    <sheetView tabSelected="1" zoomScale="70" zoomScaleNormal="70" workbookViewId="0">
      <selection activeCell="AB42" sqref="AB42"/>
    </sheetView>
  </sheetViews>
  <sheetFormatPr baseColWidth="10" defaultColWidth="11" defaultRowHeight="15.6" x14ac:dyDescent="0.3"/>
  <cols>
    <col min="1" max="1" width="8.69921875" bestFit="1" customWidth="1"/>
    <col min="2" max="2" width="5.19921875" customWidth="1"/>
    <col min="3" max="3" width="30.09765625" bestFit="1" customWidth="1"/>
    <col min="4" max="4" width="8.3984375" style="10" customWidth="1"/>
    <col min="5" max="6" width="7.59765625" bestFit="1" customWidth="1"/>
    <col min="7" max="7" width="8.5" bestFit="1" customWidth="1"/>
    <col min="8" max="12" width="7.59765625" bestFit="1" customWidth="1"/>
    <col min="13" max="13" width="9" customWidth="1"/>
    <col min="14" max="24" width="8.3984375" bestFit="1" customWidth="1"/>
    <col min="25" max="25" width="4.3984375" customWidth="1"/>
    <col min="26" max="26" width="9.5" bestFit="1" customWidth="1"/>
    <col min="27" max="27" width="12.3984375" customWidth="1"/>
    <col min="28" max="28" width="9.3984375" bestFit="1" customWidth="1"/>
    <col min="29" max="29" width="8.09765625" bestFit="1" customWidth="1"/>
    <col min="30" max="30" width="9.8984375" bestFit="1" customWidth="1"/>
    <col min="32" max="32" width="11" style="10"/>
    <col min="35" max="35" width="7.3984375" bestFit="1" customWidth="1"/>
  </cols>
  <sheetData>
    <row r="1" spans="1:35" ht="54" thickBot="1" x14ac:dyDescent="0.9">
      <c r="E1" s="14">
        <v>45904</v>
      </c>
      <c r="F1" s="15">
        <v>45917</v>
      </c>
      <c r="G1" s="14">
        <v>45932</v>
      </c>
      <c r="H1" s="15">
        <v>45945</v>
      </c>
      <c r="I1" s="14">
        <v>45967</v>
      </c>
      <c r="J1" s="15">
        <v>45980</v>
      </c>
      <c r="K1" s="14">
        <v>45995</v>
      </c>
      <c r="L1" s="15">
        <v>46008</v>
      </c>
      <c r="M1" s="48">
        <v>46023</v>
      </c>
      <c r="N1" s="15">
        <v>46036</v>
      </c>
      <c r="O1" s="14">
        <v>46058</v>
      </c>
      <c r="P1" s="15">
        <v>46071</v>
      </c>
      <c r="Q1" s="14">
        <v>46086</v>
      </c>
      <c r="R1" s="15">
        <v>46099</v>
      </c>
      <c r="S1" s="14">
        <v>46114</v>
      </c>
      <c r="T1" s="15">
        <v>46127</v>
      </c>
      <c r="U1" s="14">
        <v>46149</v>
      </c>
      <c r="V1" s="16">
        <v>46162</v>
      </c>
      <c r="W1" s="14">
        <v>46177</v>
      </c>
      <c r="X1" s="15">
        <v>46190</v>
      </c>
      <c r="Z1" t="s">
        <v>24</v>
      </c>
      <c r="AA1" s="3">
        <f>COUNTIF(E2:X2,"X")</f>
        <v>0</v>
      </c>
      <c r="AF1" s="10" t="s">
        <v>37</v>
      </c>
    </row>
    <row r="2" spans="1:35" ht="18" x14ac:dyDescent="0.3">
      <c r="A2" t="s">
        <v>34</v>
      </c>
      <c r="B2" t="s">
        <v>10</v>
      </c>
      <c r="C2" s="2" t="s">
        <v>5</v>
      </c>
      <c r="D2" s="10" t="s">
        <v>29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Z2">
        <f>COUNTIF(E2:X2,"X")</f>
        <v>0</v>
      </c>
      <c r="AA2" t="s">
        <v>25</v>
      </c>
      <c r="AB2" t="s">
        <v>26</v>
      </c>
      <c r="AC2" t="s">
        <v>27</v>
      </c>
      <c r="AD2" t="s">
        <v>28</v>
      </c>
      <c r="AE2" t="s">
        <v>33</v>
      </c>
      <c r="AI2" t="s">
        <v>6</v>
      </c>
    </row>
    <row r="3" spans="1:35" ht="16.2" thickBot="1" x14ac:dyDescent="0.35">
      <c r="C3" s="2" t="s">
        <v>11</v>
      </c>
      <c r="E3" s="10" t="s">
        <v>12</v>
      </c>
      <c r="F3" s="10" t="s">
        <v>12</v>
      </c>
      <c r="G3" s="10" t="s">
        <v>12</v>
      </c>
      <c r="H3" s="10" t="s">
        <v>12</v>
      </c>
      <c r="I3" s="10" t="s">
        <v>12</v>
      </c>
      <c r="J3" s="10" t="s">
        <v>12</v>
      </c>
      <c r="K3" s="10" t="s">
        <v>12</v>
      </c>
      <c r="L3" s="10" t="s">
        <v>12</v>
      </c>
      <c r="M3" s="10" t="s">
        <v>12</v>
      </c>
      <c r="N3" s="10" t="s">
        <v>12</v>
      </c>
      <c r="O3" s="10" t="s">
        <v>12</v>
      </c>
      <c r="P3" s="10" t="s">
        <v>12</v>
      </c>
      <c r="Q3" s="10" t="s">
        <v>12</v>
      </c>
      <c r="R3" s="10" t="s">
        <v>12</v>
      </c>
      <c r="S3" s="10" t="s">
        <v>12</v>
      </c>
      <c r="T3" s="10" t="s">
        <v>12</v>
      </c>
      <c r="U3" s="10" t="s">
        <v>12</v>
      </c>
      <c r="V3" s="10" t="s">
        <v>12</v>
      </c>
      <c r="W3" s="10" t="s">
        <v>12</v>
      </c>
      <c r="X3" s="10" t="s">
        <v>12</v>
      </c>
    </row>
    <row r="4" spans="1:35" x14ac:dyDescent="0.3">
      <c r="C4" s="17" t="s">
        <v>48</v>
      </c>
      <c r="D4" s="10" t="s">
        <v>13</v>
      </c>
      <c r="E4" s="21"/>
      <c r="F4" s="22"/>
      <c r="G4" s="21"/>
      <c r="H4" s="22"/>
      <c r="I4" s="21"/>
      <c r="J4" s="22"/>
      <c r="K4" s="21"/>
      <c r="L4" s="22"/>
      <c r="M4" s="21"/>
      <c r="N4" s="22"/>
      <c r="O4" s="21"/>
      <c r="P4" s="22"/>
      <c r="Q4" s="21"/>
      <c r="R4" s="22"/>
      <c r="S4" s="21"/>
      <c r="T4" s="22"/>
      <c r="U4" s="21"/>
      <c r="V4" s="22"/>
      <c r="W4" s="21"/>
      <c r="X4" s="22"/>
      <c r="Z4" s="6">
        <f>COUNTA(E4:X4)</f>
        <v>0</v>
      </c>
      <c r="AA4" s="26" t="e">
        <f>COUNTIF($E4:$X4,"P")/Z4</f>
        <v>#DIV/0!</v>
      </c>
      <c r="AB4" s="9" t="e">
        <f>COUNTIF($E4:$X4,"A")/Z4</f>
        <v>#DIV/0!</v>
      </c>
      <c r="AC4" s="9" t="e">
        <f>COUNTIF($E4:$X4,"E")/Z4</f>
        <v>#DIV/0!</v>
      </c>
      <c r="AD4" s="9" t="e">
        <f>IF(B4&lt;&gt;"OUI",COUNTIF($E4:$X4,"Disp")/Z4,1)</f>
        <v>#DIV/0!</v>
      </c>
      <c r="AE4" s="13" t="e">
        <f>AB4+AC4</f>
        <v>#DIV/0!</v>
      </c>
      <c r="AF4" s="13"/>
      <c r="AI4" t="s">
        <v>7</v>
      </c>
    </row>
    <row r="5" spans="1:35" x14ac:dyDescent="0.3">
      <c r="A5" s="4" t="s">
        <v>36</v>
      </c>
      <c r="C5" s="18" t="s">
        <v>0</v>
      </c>
      <c r="D5" s="10" t="s">
        <v>13</v>
      </c>
      <c r="E5" s="23"/>
      <c r="F5" s="24"/>
      <c r="G5" s="23"/>
      <c r="H5" s="24"/>
      <c r="I5" s="23"/>
      <c r="J5" s="24"/>
      <c r="K5" s="23"/>
      <c r="L5" s="24"/>
      <c r="M5" s="23"/>
      <c r="N5" s="24"/>
      <c r="O5" s="23"/>
      <c r="P5" s="24"/>
      <c r="Q5" s="23"/>
      <c r="R5" s="24"/>
      <c r="S5" s="23"/>
      <c r="T5" s="24"/>
      <c r="U5" s="23"/>
      <c r="V5" s="24"/>
      <c r="W5" s="23"/>
      <c r="X5" s="24"/>
      <c r="Z5" s="6">
        <f>COUNTA(E5:X5)</f>
        <v>0</v>
      </c>
      <c r="AA5" s="26" t="e">
        <f>COUNTIF($E5:$X5,"P")/Z5</f>
        <v>#DIV/0!</v>
      </c>
      <c r="AB5" s="9" t="e">
        <f>COUNTIF($E5:$X5,"A")/Z5</f>
        <v>#DIV/0!</v>
      </c>
      <c r="AC5" s="9" t="e">
        <f>COUNTIF($E5:$X5,"E")/Z5</f>
        <v>#DIV/0!</v>
      </c>
      <c r="AD5" s="9" t="e">
        <f>IF(B5&lt;&gt;"OUI",COUNTIF($E5:$X5,"Disp")/Z5,1)</f>
        <v>#DIV/0!</v>
      </c>
      <c r="AE5" s="13" t="e">
        <f t="shared" ref="AE5:AE32" si="0">AB5+AC5</f>
        <v>#DIV/0!</v>
      </c>
      <c r="AF5" s="13" t="e">
        <f t="shared" ref="AF4:AF32" si="1">AE5</f>
        <v>#DIV/0!</v>
      </c>
      <c r="AI5" t="s">
        <v>8</v>
      </c>
    </row>
    <row r="6" spans="1:35" x14ac:dyDescent="0.3">
      <c r="A6" s="4" t="s">
        <v>71</v>
      </c>
      <c r="C6" s="18" t="s">
        <v>50</v>
      </c>
      <c r="D6" s="10" t="s">
        <v>13</v>
      </c>
      <c r="E6" s="23"/>
      <c r="F6" s="24"/>
      <c r="G6" s="23"/>
      <c r="H6" s="24"/>
      <c r="I6" s="23"/>
      <c r="J6" s="24"/>
      <c r="K6" s="23"/>
      <c r="L6" s="24"/>
      <c r="M6" s="23"/>
      <c r="N6" s="24"/>
      <c r="O6" s="23"/>
      <c r="P6" s="24"/>
      <c r="Q6" s="23"/>
      <c r="R6" s="24"/>
      <c r="S6" s="23"/>
      <c r="T6" s="24"/>
      <c r="U6" s="23"/>
      <c r="V6" s="24"/>
      <c r="W6" s="23"/>
      <c r="X6" s="24"/>
      <c r="Z6" s="6">
        <f>COUNTA(E6:X6)</f>
        <v>0</v>
      </c>
      <c r="AA6" s="26" t="e">
        <f>COUNTIF($E6:$X6,"P")/Z6</f>
        <v>#DIV/0!</v>
      </c>
      <c r="AB6" s="9" t="e">
        <f>COUNTIF($E6:$X6,"A")/Z6</f>
        <v>#DIV/0!</v>
      </c>
      <c r="AC6" s="9" t="e">
        <f>COUNTIF($E6:$X6,"E")/Z6</f>
        <v>#DIV/0!</v>
      </c>
      <c r="AD6" s="9" t="e">
        <f>IF(B6&lt;&gt;"OUI",COUNTIF($E6:$X6,"Disp")/Z6,1)</f>
        <v>#DIV/0!</v>
      </c>
      <c r="AE6" s="13" t="e">
        <f t="shared" si="0"/>
        <v>#DIV/0!</v>
      </c>
      <c r="AF6" s="13" t="e">
        <f t="shared" si="1"/>
        <v>#DIV/0!</v>
      </c>
    </row>
    <row r="7" spans="1:35" x14ac:dyDescent="0.3">
      <c r="C7" s="18" t="s">
        <v>51</v>
      </c>
      <c r="D7" s="10" t="s">
        <v>13</v>
      </c>
      <c r="E7" s="23"/>
      <c r="F7" s="24"/>
      <c r="G7" s="23"/>
      <c r="H7" s="24"/>
      <c r="I7" s="23"/>
      <c r="J7" s="24"/>
      <c r="K7" s="23"/>
      <c r="L7" s="24"/>
      <c r="M7" s="23"/>
      <c r="N7" s="24"/>
      <c r="O7" s="23"/>
      <c r="P7" s="24"/>
      <c r="Q7" s="23"/>
      <c r="R7" s="24"/>
      <c r="S7" s="23"/>
      <c r="T7" s="24"/>
      <c r="U7" s="23"/>
      <c r="V7" s="24"/>
      <c r="W7" s="23"/>
      <c r="X7" s="24"/>
      <c r="Z7" s="6">
        <f>COUNTA(E7:X7)</f>
        <v>0</v>
      </c>
      <c r="AA7" s="26" t="e">
        <f>COUNTIF($E7:$X7,"P")/Z7</f>
        <v>#DIV/0!</v>
      </c>
      <c r="AB7" s="9" t="e">
        <f>COUNTIF($E7:$X7,"A")/Z7</f>
        <v>#DIV/0!</v>
      </c>
      <c r="AC7" s="9" t="e">
        <f>COUNTIF($E7:$X7,"E")/Z7</f>
        <v>#DIV/0!</v>
      </c>
      <c r="AD7" s="9" t="e">
        <f>IF(B7&lt;&gt;"OUI",COUNTIF($E7:$X7,"Disp")/Z7,1)</f>
        <v>#DIV/0!</v>
      </c>
      <c r="AE7" s="13" t="e">
        <f t="shared" si="0"/>
        <v>#DIV/0!</v>
      </c>
      <c r="AF7" s="13"/>
    </row>
    <row r="8" spans="1:35" x14ac:dyDescent="0.3">
      <c r="A8" s="4" t="s">
        <v>44</v>
      </c>
      <c r="C8" s="18" t="s">
        <v>87</v>
      </c>
      <c r="D8" s="10" t="s">
        <v>13</v>
      </c>
      <c r="E8" s="23"/>
      <c r="F8" s="24"/>
      <c r="G8" s="23"/>
      <c r="H8" s="24"/>
      <c r="I8" s="23"/>
      <c r="J8" s="24"/>
      <c r="K8" s="23"/>
      <c r="L8" s="24"/>
      <c r="M8" s="23"/>
      <c r="N8" s="24"/>
      <c r="O8" s="23"/>
      <c r="P8" s="24"/>
      <c r="Q8" s="23"/>
      <c r="R8" s="24"/>
      <c r="S8" s="23"/>
      <c r="T8" s="24"/>
      <c r="U8" s="23"/>
      <c r="V8" s="24"/>
      <c r="W8" s="23"/>
      <c r="X8" s="24"/>
      <c r="Z8" s="6">
        <f>COUNTA(E8:X8)</f>
        <v>0</v>
      </c>
      <c r="AA8" s="26" t="e">
        <f>COUNTIF($E8:$X8,"P")/Z8</f>
        <v>#DIV/0!</v>
      </c>
      <c r="AB8" s="9" t="e">
        <f>COUNTIF($E8:$X8,"A")/Z8</f>
        <v>#DIV/0!</v>
      </c>
      <c r="AC8" s="9" t="e">
        <f>COUNTIF($E8:$X8,"E")/Z8</f>
        <v>#DIV/0!</v>
      </c>
      <c r="AD8" s="9" t="e">
        <f>IF(B8&lt;&gt;"OUI",COUNTIF($E8:$X8,"Disp")/Z8,1)</f>
        <v>#DIV/0!</v>
      </c>
      <c r="AE8" s="13" t="e">
        <f t="shared" si="0"/>
        <v>#DIV/0!</v>
      </c>
      <c r="AF8" s="13" t="e">
        <f t="shared" si="1"/>
        <v>#DIV/0!</v>
      </c>
    </row>
    <row r="9" spans="1:35" x14ac:dyDescent="0.3">
      <c r="A9" s="4" t="s">
        <v>35</v>
      </c>
      <c r="C9" s="18" t="s">
        <v>52</v>
      </c>
      <c r="D9" s="10" t="s">
        <v>13</v>
      </c>
      <c r="E9" s="23"/>
      <c r="F9" s="24"/>
      <c r="G9" s="23"/>
      <c r="H9" s="24"/>
      <c r="I9" s="23"/>
      <c r="J9" s="24"/>
      <c r="K9" s="23"/>
      <c r="L9" s="24"/>
      <c r="M9" s="23"/>
      <c r="N9" s="24"/>
      <c r="O9" s="23"/>
      <c r="P9" s="24"/>
      <c r="Q9" s="23"/>
      <c r="R9" s="24"/>
      <c r="S9" s="23"/>
      <c r="T9" s="24"/>
      <c r="U9" s="23"/>
      <c r="V9" s="24"/>
      <c r="W9" s="23"/>
      <c r="X9" s="24"/>
      <c r="Z9" s="6">
        <f>COUNTA(E9:X9)</f>
        <v>0</v>
      </c>
      <c r="AA9" s="26" t="e">
        <f>COUNTIF($E9:$X9,"P")/Z9</f>
        <v>#DIV/0!</v>
      </c>
      <c r="AB9" s="9" t="e">
        <f>COUNTIF($E9:$X9,"A")/Z9</f>
        <v>#DIV/0!</v>
      </c>
      <c r="AC9" s="9" t="e">
        <f>COUNTIF($E9:$X9,"E")/Z9</f>
        <v>#DIV/0!</v>
      </c>
      <c r="AD9" s="9" t="e">
        <f>IF(B9&lt;&gt;"OUI",COUNTIF($E9:$X9,"Disp")/Z9,1)</f>
        <v>#DIV/0!</v>
      </c>
      <c r="AE9" s="13" t="e">
        <f t="shared" si="0"/>
        <v>#DIV/0!</v>
      </c>
      <c r="AF9" s="13" t="e">
        <f t="shared" si="1"/>
        <v>#DIV/0!</v>
      </c>
    </row>
    <row r="10" spans="1:35" x14ac:dyDescent="0.3">
      <c r="C10" s="18" t="s">
        <v>53</v>
      </c>
      <c r="D10" s="10" t="s">
        <v>13</v>
      </c>
      <c r="E10" s="23"/>
      <c r="F10" s="24"/>
      <c r="G10" s="23"/>
      <c r="H10" s="24"/>
      <c r="I10" s="23"/>
      <c r="J10" s="24"/>
      <c r="K10" s="23"/>
      <c r="L10" s="24"/>
      <c r="M10" s="23"/>
      <c r="N10" s="24"/>
      <c r="O10" s="23"/>
      <c r="P10" s="24"/>
      <c r="Q10" s="23"/>
      <c r="R10" s="24"/>
      <c r="S10" s="23"/>
      <c r="T10" s="24"/>
      <c r="U10" s="23"/>
      <c r="V10" s="24"/>
      <c r="W10" s="23"/>
      <c r="X10" s="24"/>
      <c r="Z10" s="6">
        <f>COUNTA(E10:X10)</f>
        <v>0</v>
      </c>
      <c r="AA10" s="26" t="e">
        <f>COUNTIF($E10:$X10,"P")/Z10</f>
        <v>#DIV/0!</v>
      </c>
      <c r="AB10" s="9" t="e">
        <f>COUNTIF($E10:$X10,"A")/Z10</f>
        <v>#DIV/0!</v>
      </c>
      <c r="AC10" s="9" t="e">
        <f>COUNTIF($E10:$X10,"E")/Z10</f>
        <v>#DIV/0!</v>
      </c>
      <c r="AD10" s="9" t="e">
        <f>IF(B10&lt;&gt;"OUI",COUNTIF($E10:$X10,"Disp")/Z10,1)</f>
        <v>#DIV/0!</v>
      </c>
      <c r="AE10" s="13" t="e">
        <f t="shared" si="0"/>
        <v>#DIV/0!</v>
      </c>
      <c r="AF10" s="13"/>
    </row>
    <row r="11" spans="1:35" x14ac:dyDescent="0.3">
      <c r="C11" s="18" t="s">
        <v>54</v>
      </c>
      <c r="D11" s="10" t="s">
        <v>13</v>
      </c>
      <c r="E11" s="23"/>
      <c r="F11" s="24"/>
      <c r="G11" s="23"/>
      <c r="H11" s="24"/>
      <c r="I11" s="23"/>
      <c r="J11" s="24"/>
      <c r="K11" s="23"/>
      <c r="L11" s="24"/>
      <c r="M11" s="23"/>
      <c r="N11" s="24"/>
      <c r="O11" s="23"/>
      <c r="P11" s="24"/>
      <c r="Q11" s="23"/>
      <c r="R11" s="24"/>
      <c r="S11" s="23"/>
      <c r="T11" s="24"/>
      <c r="U11" s="23"/>
      <c r="V11" s="24"/>
      <c r="W11" s="23"/>
      <c r="X11" s="24"/>
      <c r="Z11" s="6">
        <f>COUNTA(E11:X11)</f>
        <v>0</v>
      </c>
      <c r="AA11" s="26" t="e">
        <f>COUNTIF($E11:$X11,"P")/Z11</f>
        <v>#DIV/0!</v>
      </c>
      <c r="AB11" s="9" t="e">
        <f>COUNTIF($E11:$X11,"A")/Z11</f>
        <v>#DIV/0!</v>
      </c>
      <c r="AC11" s="9" t="e">
        <f>COUNTIF($E11:$X11,"E")/Z11</f>
        <v>#DIV/0!</v>
      </c>
      <c r="AD11" s="9" t="e">
        <f>IF(B11&lt;&gt;"OUI",COUNTIF($E11:$X11,"Disp")/Z11,1)</f>
        <v>#DIV/0!</v>
      </c>
      <c r="AE11" s="13" t="e">
        <f t="shared" si="0"/>
        <v>#DIV/0!</v>
      </c>
      <c r="AF11" s="13"/>
    </row>
    <row r="12" spans="1:35" x14ac:dyDescent="0.3">
      <c r="A12" s="4" t="s">
        <v>42</v>
      </c>
      <c r="C12" s="18" t="s">
        <v>1</v>
      </c>
      <c r="D12" s="10" t="s">
        <v>13</v>
      </c>
      <c r="E12" s="23"/>
      <c r="F12" s="24"/>
      <c r="G12" s="23"/>
      <c r="H12" s="24"/>
      <c r="I12" s="23"/>
      <c r="J12" s="24"/>
      <c r="K12" s="23"/>
      <c r="L12" s="24"/>
      <c r="M12" s="23"/>
      <c r="N12" s="24"/>
      <c r="O12" s="23"/>
      <c r="P12" s="24"/>
      <c r="Q12" s="23"/>
      <c r="R12" s="24"/>
      <c r="S12" s="23"/>
      <c r="T12" s="24"/>
      <c r="U12" s="23"/>
      <c r="V12" s="24"/>
      <c r="W12" s="23"/>
      <c r="X12" s="24"/>
      <c r="Z12" s="6">
        <f>COUNTA(E12:X12)</f>
        <v>0</v>
      </c>
      <c r="AA12" s="26" t="e">
        <f>COUNTIF($E12:$X12,"P")/Z12</f>
        <v>#DIV/0!</v>
      </c>
      <c r="AB12" s="9" t="e">
        <f>COUNTIF($E12:$X12,"A")/Z12</f>
        <v>#DIV/0!</v>
      </c>
      <c r="AC12" s="9" t="e">
        <f>COUNTIF($E12:$X12,"E")/Z12</f>
        <v>#DIV/0!</v>
      </c>
      <c r="AD12" s="9" t="e">
        <f>IF(B12&lt;&gt;"OUI",COUNTIF($E12:$X12,"Disp")/Z12,1)</f>
        <v>#DIV/0!</v>
      </c>
      <c r="AE12" s="13" t="e">
        <f t="shared" si="0"/>
        <v>#DIV/0!</v>
      </c>
      <c r="AF12" s="13" t="e">
        <f t="shared" si="1"/>
        <v>#DIV/0!</v>
      </c>
    </row>
    <row r="13" spans="1:35" x14ac:dyDescent="0.3">
      <c r="C13" s="18" t="s">
        <v>77</v>
      </c>
      <c r="D13" s="10" t="s">
        <v>13</v>
      </c>
      <c r="E13" s="23"/>
      <c r="F13" s="24"/>
      <c r="G13" s="23"/>
      <c r="H13" s="24"/>
      <c r="I13" s="23"/>
      <c r="J13" s="24"/>
      <c r="K13" s="23"/>
      <c r="L13" s="24"/>
      <c r="M13" s="23"/>
      <c r="N13" s="24"/>
      <c r="O13" s="23"/>
      <c r="P13" s="24"/>
      <c r="Q13" s="23"/>
      <c r="R13" s="24"/>
      <c r="S13" s="23"/>
      <c r="T13" s="24"/>
      <c r="U13" s="23"/>
      <c r="V13" s="24"/>
      <c r="W13" s="23"/>
      <c r="X13" s="24"/>
      <c r="Z13" s="6">
        <f>COUNTA(E13:X13)</f>
        <v>0</v>
      </c>
      <c r="AA13" s="26" t="e">
        <f>COUNTIF($E13:$X13,"P")/Z13</f>
        <v>#DIV/0!</v>
      </c>
      <c r="AB13" s="9" t="e">
        <f>COUNTIF($E13:$X13,"A")/Z13</f>
        <v>#DIV/0!</v>
      </c>
      <c r="AC13" s="9" t="e">
        <f>COUNTIF($E13:$X13,"E")/Z13</f>
        <v>#DIV/0!</v>
      </c>
      <c r="AD13" s="9" t="e">
        <f>IF(B13&lt;&gt;"OUI",COUNTIF($E13:$X13,"Disp")/Z13,1)</f>
        <v>#DIV/0!</v>
      </c>
      <c r="AE13" s="13" t="e">
        <f t="shared" si="0"/>
        <v>#DIV/0!</v>
      </c>
      <c r="AF13" s="13"/>
    </row>
    <row r="14" spans="1:35" x14ac:dyDescent="0.3">
      <c r="C14" s="18" t="s">
        <v>55</v>
      </c>
      <c r="D14" s="10" t="s">
        <v>13</v>
      </c>
      <c r="E14" s="23"/>
      <c r="F14" s="24"/>
      <c r="G14" s="23"/>
      <c r="H14" s="24"/>
      <c r="I14" s="23"/>
      <c r="J14" s="24"/>
      <c r="K14" s="23"/>
      <c r="L14" s="24"/>
      <c r="M14" s="23"/>
      <c r="N14" s="24"/>
      <c r="O14" s="23"/>
      <c r="P14" s="24"/>
      <c r="Q14" s="23"/>
      <c r="R14" s="24"/>
      <c r="S14" s="23"/>
      <c r="T14" s="24"/>
      <c r="U14" s="23"/>
      <c r="V14" s="24"/>
      <c r="W14" s="23"/>
      <c r="X14" s="24"/>
      <c r="Z14" s="6">
        <f>COUNTA(E14:X14)</f>
        <v>0</v>
      </c>
      <c r="AA14" s="26" t="e">
        <f>COUNTIF($E14:$X14,"P")/Z14</f>
        <v>#DIV/0!</v>
      </c>
      <c r="AB14" s="9" t="e">
        <f>COUNTIF($E14:$X14,"A")/Z14</f>
        <v>#DIV/0!</v>
      </c>
      <c r="AC14" s="9" t="e">
        <f>COUNTIF($E14:$X14,"E")/Z14</f>
        <v>#DIV/0!</v>
      </c>
      <c r="AD14" s="9" t="e">
        <f>IF(B14&lt;&gt;"OUI",COUNTIF($E14:$X14,"Disp")/Z14,1)</f>
        <v>#DIV/0!</v>
      </c>
      <c r="AE14" s="13" t="e">
        <f t="shared" si="0"/>
        <v>#DIV/0!</v>
      </c>
      <c r="AF14" s="13"/>
    </row>
    <row r="15" spans="1:35" x14ac:dyDescent="0.3">
      <c r="C15" s="18" t="s">
        <v>56</v>
      </c>
      <c r="D15" s="10" t="s">
        <v>13</v>
      </c>
      <c r="E15" s="23"/>
      <c r="F15" s="24"/>
      <c r="G15" s="23"/>
      <c r="H15" s="24"/>
      <c r="I15" s="23"/>
      <c r="J15" s="24"/>
      <c r="K15" s="23"/>
      <c r="L15" s="24"/>
      <c r="M15" s="23"/>
      <c r="N15" s="24"/>
      <c r="O15" s="23"/>
      <c r="P15" s="24"/>
      <c r="Q15" s="23"/>
      <c r="R15" s="24"/>
      <c r="S15" s="23"/>
      <c r="T15" s="24"/>
      <c r="U15" s="23"/>
      <c r="V15" s="24"/>
      <c r="W15" s="23"/>
      <c r="X15" s="24"/>
      <c r="Z15" s="6">
        <f>COUNTA(E15:X15)</f>
        <v>0</v>
      </c>
      <c r="AA15" s="26" t="e">
        <f>COUNTIF($E15:$X15,"P")/Z15</f>
        <v>#DIV/0!</v>
      </c>
      <c r="AB15" s="9" t="e">
        <f>COUNTIF($E15:$X15,"A")/Z15</f>
        <v>#DIV/0!</v>
      </c>
      <c r="AC15" s="9" t="e">
        <f>COUNTIF($E15:$X15,"E")/Z15</f>
        <v>#DIV/0!</v>
      </c>
      <c r="AD15" s="9" t="e">
        <f>IF(B15&lt;&gt;"OUI",COUNTIF($E15:$X15,"Disp")/Z15,1)</f>
        <v>#DIV/0!</v>
      </c>
      <c r="AE15" s="13" t="e">
        <f t="shared" si="0"/>
        <v>#DIV/0!</v>
      </c>
      <c r="AF15" s="13"/>
    </row>
    <row r="16" spans="1:35" x14ac:dyDescent="0.3">
      <c r="A16" s="4" t="s">
        <v>38</v>
      </c>
      <c r="C16" s="18" t="s">
        <v>2</v>
      </c>
      <c r="D16" s="10" t="s">
        <v>13</v>
      </c>
      <c r="E16" s="23"/>
      <c r="F16" s="24"/>
      <c r="G16" s="23"/>
      <c r="H16" s="24"/>
      <c r="I16" s="23"/>
      <c r="J16" s="24"/>
      <c r="K16" s="23"/>
      <c r="L16" s="24"/>
      <c r="M16" s="23"/>
      <c r="N16" s="24"/>
      <c r="O16" s="23"/>
      <c r="P16" s="24"/>
      <c r="Q16" s="23"/>
      <c r="R16" s="24"/>
      <c r="S16" s="23"/>
      <c r="T16" s="24"/>
      <c r="U16" s="23"/>
      <c r="V16" s="24"/>
      <c r="W16" s="23"/>
      <c r="X16" s="24"/>
      <c r="Z16" s="6">
        <f>COUNTA(E16:X16)</f>
        <v>0</v>
      </c>
      <c r="AA16" s="26" t="e">
        <f>COUNTIF($E16:$X16,"P")/Z16</f>
        <v>#DIV/0!</v>
      </c>
      <c r="AB16" s="9" t="e">
        <f>COUNTIF($E16:$X16,"A")/Z16</f>
        <v>#DIV/0!</v>
      </c>
      <c r="AC16" s="9" t="e">
        <f>COUNTIF($E16:$X16,"E")/Z16</f>
        <v>#DIV/0!</v>
      </c>
      <c r="AD16" s="9" t="e">
        <f>IF(B16&lt;&gt;"OUI",COUNTIF($E16:$X16,"Disp")/Z16,1)</f>
        <v>#DIV/0!</v>
      </c>
      <c r="AE16" s="13" t="e">
        <f t="shared" si="0"/>
        <v>#DIV/0!</v>
      </c>
      <c r="AF16" s="13" t="e">
        <f t="shared" si="1"/>
        <v>#DIV/0!</v>
      </c>
    </row>
    <row r="17" spans="1:32" x14ac:dyDescent="0.3">
      <c r="A17" s="4" t="s">
        <v>85</v>
      </c>
      <c r="C17" s="18" t="s">
        <v>3</v>
      </c>
      <c r="D17" s="10" t="s">
        <v>13</v>
      </c>
      <c r="E17" s="23"/>
      <c r="F17" s="24"/>
      <c r="G17" s="23"/>
      <c r="H17" s="24"/>
      <c r="I17" s="23"/>
      <c r="J17" s="24"/>
      <c r="K17" s="23"/>
      <c r="L17" s="24"/>
      <c r="M17" s="23"/>
      <c r="N17" s="24"/>
      <c r="O17" s="23"/>
      <c r="P17" s="24"/>
      <c r="Q17" s="23"/>
      <c r="R17" s="24"/>
      <c r="S17" s="23"/>
      <c r="T17" s="24"/>
      <c r="U17" s="23"/>
      <c r="V17" s="24"/>
      <c r="W17" s="23"/>
      <c r="X17" s="24"/>
      <c r="Z17" s="6">
        <f>COUNTA(E17:X17)</f>
        <v>0</v>
      </c>
      <c r="AA17" s="26" t="e">
        <f>COUNTIF($E17:$X17,"P")/Z17</f>
        <v>#DIV/0!</v>
      </c>
      <c r="AB17" s="9" t="e">
        <f>COUNTIF($E17:$X17,"A")/Z17</f>
        <v>#DIV/0!</v>
      </c>
      <c r="AC17" s="9" t="e">
        <f>COUNTIF($E17:$X17,"E")/Z17</f>
        <v>#DIV/0!</v>
      </c>
      <c r="AD17" s="9" t="e">
        <f>IF(B17&lt;&gt;"OUI",COUNTIF($E17:$X17,"Disp")/Z17,1)</f>
        <v>#DIV/0!</v>
      </c>
      <c r="AE17" s="13" t="e">
        <f t="shared" si="0"/>
        <v>#DIV/0!</v>
      </c>
      <c r="AF17" s="13" t="e">
        <f t="shared" si="1"/>
        <v>#DIV/0!</v>
      </c>
    </row>
    <row r="18" spans="1:32" x14ac:dyDescent="0.3">
      <c r="A18" s="4" t="s">
        <v>45</v>
      </c>
      <c r="C18" s="18" t="s">
        <v>57</v>
      </c>
      <c r="D18" s="10" t="s">
        <v>13</v>
      </c>
      <c r="E18" s="23"/>
      <c r="F18" s="24"/>
      <c r="G18" s="23"/>
      <c r="H18" s="24"/>
      <c r="I18" s="23"/>
      <c r="J18" s="24"/>
      <c r="K18" s="23"/>
      <c r="L18" s="24"/>
      <c r="M18" s="23"/>
      <c r="N18" s="24"/>
      <c r="O18" s="23"/>
      <c r="P18" s="24"/>
      <c r="Q18" s="23"/>
      <c r="R18" s="24"/>
      <c r="S18" s="23"/>
      <c r="T18" s="24"/>
      <c r="U18" s="23"/>
      <c r="V18" s="24"/>
      <c r="W18" s="23"/>
      <c r="X18" s="24"/>
      <c r="Z18" s="6">
        <f>COUNTA(E18:X18)</f>
        <v>0</v>
      </c>
      <c r="AA18" s="26" t="e">
        <f>COUNTIF($E18:$X18,"P")/Z18</f>
        <v>#DIV/0!</v>
      </c>
      <c r="AB18" s="9" t="e">
        <f>COUNTIF($E18:$X18,"A")/Z18</f>
        <v>#DIV/0!</v>
      </c>
      <c r="AC18" s="9" t="e">
        <f>COUNTIF($E18:$X18,"E")/Z18</f>
        <v>#DIV/0!</v>
      </c>
      <c r="AD18" s="9" t="e">
        <f>IF(B18&lt;&gt;"OUI",COUNTIF($E18:$X18,"Disp")/Z18,1)</f>
        <v>#DIV/0!</v>
      </c>
      <c r="AE18" s="13" t="e">
        <f t="shared" si="0"/>
        <v>#DIV/0!</v>
      </c>
      <c r="AF18" s="13" t="e">
        <f t="shared" si="1"/>
        <v>#DIV/0!</v>
      </c>
    </row>
    <row r="19" spans="1:32" x14ac:dyDescent="0.3">
      <c r="C19" s="18" t="s">
        <v>4</v>
      </c>
      <c r="D19" s="10" t="s">
        <v>14</v>
      </c>
      <c r="E19" s="23"/>
      <c r="F19" s="24"/>
      <c r="G19" s="23"/>
      <c r="H19" s="24"/>
      <c r="I19" s="23"/>
      <c r="J19" s="24"/>
      <c r="K19" s="23"/>
      <c r="L19" s="24"/>
      <c r="M19" s="23"/>
      <c r="N19" s="24"/>
      <c r="O19" s="23"/>
      <c r="P19" s="24"/>
      <c r="Q19" s="23"/>
      <c r="R19" s="24"/>
      <c r="S19" s="23"/>
      <c r="T19" s="24"/>
      <c r="U19" s="23"/>
      <c r="V19" s="24"/>
      <c r="W19" s="23"/>
      <c r="X19" s="24"/>
      <c r="Z19" s="6">
        <f>COUNTA(E19:X19)</f>
        <v>0</v>
      </c>
      <c r="AA19" s="26" t="e">
        <f>COUNTIF($E19:$X19,"P")/Z19</f>
        <v>#DIV/0!</v>
      </c>
      <c r="AB19" s="9" t="e">
        <f>COUNTIF($E19:$X19,"A")/Z19</f>
        <v>#DIV/0!</v>
      </c>
      <c r="AC19" s="9" t="e">
        <f>COUNTIF($E19:$X19,"E")/Z19</f>
        <v>#DIV/0!</v>
      </c>
      <c r="AD19" s="9" t="e">
        <f>IF(B19&lt;&gt;"OUI",COUNTIF($E19:$X19,"Disp")/Z19,1)</f>
        <v>#DIV/0!</v>
      </c>
      <c r="AE19" s="13" t="e">
        <f t="shared" si="0"/>
        <v>#DIV/0!</v>
      </c>
      <c r="AF19" s="13"/>
    </row>
    <row r="20" spans="1:32" x14ac:dyDescent="0.3">
      <c r="C20" s="18" t="s">
        <v>58</v>
      </c>
      <c r="D20" s="10" t="s">
        <v>13</v>
      </c>
      <c r="E20" s="23"/>
      <c r="F20" s="24"/>
      <c r="G20" s="23"/>
      <c r="H20" s="24"/>
      <c r="I20" s="23"/>
      <c r="J20" s="24"/>
      <c r="K20" s="23"/>
      <c r="L20" s="24"/>
      <c r="M20" s="23"/>
      <c r="N20" s="24"/>
      <c r="O20" s="23"/>
      <c r="P20" s="24"/>
      <c r="Q20" s="23"/>
      <c r="R20" s="24"/>
      <c r="S20" s="23"/>
      <c r="T20" s="24"/>
      <c r="U20" s="23"/>
      <c r="V20" s="24"/>
      <c r="W20" s="23"/>
      <c r="X20" s="24"/>
      <c r="Z20" s="6">
        <f>COUNTA(E20:X20)</f>
        <v>0</v>
      </c>
      <c r="AA20" s="26" t="e">
        <f>COUNTIF($E20:$X20,"P")/Z20</f>
        <v>#DIV/0!</v>
      </c>
      <c r="AB20" s="9" t="e">
        <f>COUNTIF($E20:$X20,"A")/Z20</f>
        <v>#DIV/0!</v>
      </c>
      <c r="AC20" s="9" t="e">
        <f>COUNTIF($E20:$X20,"E")/Z20</f>
        <v>#DIV/0!</v>
      </c>
      <c r="AD20" s="9" t="e">
        <f>IF(B20&lt;&gt;"OUI",COUNTIF($E20:$X20,"Disp")/Z20,1)</f>
        <v>#DIV/0!</v>
      </c>
      <c r="AE20" s="13" t="e">
        <f t="shared" si="0"/>
        <v>#DIV/0!</v>
      </c>
      <c r="AF20" s="13"/>
    </row>
    <row r="21" spans="1:32" x14ac:dyDescent="0.3">
      <c r="C21" s="18" t="s">
        <v>59</v>
      </c>
      <c r="D21" s="10" t="s">
        <v>13</v>
      </c>
      <c r="E21" s="23"/>
      <c r="F21" s="24"/>
      <c r="G21" s="23"/>
      <c r="H21" s="24"/>
      <c r="I21" s="23"/>
      <c r="J21" s="24"/>
      <c r="K21" s="23"/>
      <c r="L21" s="24"/>
      <c r="M21" s="23"/>
      <c r="N21" s="24"/>
      <c r="O21" s="23"/>
      <c r="P21" s="24"/>
      <c r="Q21" s="23"/>
      <c r="R21" s="24"/>
      <c r="S21" s="23"/>
      <c r="T21" s="24"/>
      <c r="U21" s="23"/>
      <c r="V21" s="24"/>
      <c r="W21" s="23"/>
      <c r="X21" s="24"/>
      <c r="Z21" s="6">
        <f>COUNTA(E21:X21)</f>
        <v>0</v>
      </c>
      <c r="AA21" s="26" t="e">
        <f>COUNTIF($E21:$X21,"P")/Z21</f>
        <v>#DIV/0!</v>
      </c>
      <c r="AB21" s="9" t="e">
        <f>COUNTIF($E21:$X21,"A")/Z21</f>
        <v>#DIV/0!</v>
      </c>
      <c r="AC21" s="9" t="e">
        <f>COUNTIF($E21:$X21,"E")/Z21</f>
        <v>#DIV/0!</v>
      </c>
      <c r="AD21" s="9" t="e">
        <f>IF(B21&lt;&gt;"OUI",COUNTIF($E21:$X21,"Disp")/Z21,1)</f>
        <v>#DIV/0!</v>
      </c>
      <c r="AE21" s="13" t="e">
        <f t="shared" si="0"/>
        <v>#DIV/0!</v>
      </c>
      <c r="AF21" s="13"/>
    </row>
    <row r="22" spans="1:32" x14ac:dyDescent="0.3">
      <c r="C22" s="18" t="s">
        <v>60</v>
      </c>
      <c r="D22" s="10" t="s">
        <v>12</v>
      </c>
      <c r="E22" s="23"/>
      <c r="F22" s="24"/>
      <c r="G22" s="23"/>
      <c r="H22" s="24"/>
      <c r="I22" s="23"/>
      <c r="J22" s="24"/>
      <c r="K22" s="23"/>
      <c r="L22" s="24"/>
      <c r="M22" s="23"/>
      <c r="N22" s="24"/>
      <c r="O22" s="23"/>
      <c r="P22" s="24"/>
      <c r="Q22" s="23"/>
      <c r="R22" s="24"/>
      <c r="S22" s="23"/>
      <c r="T22" s="24"/>
      <c r="U22" s="23"/>
      <c r="V22" s="24"/>
      <c r="W22" s="23"/>
      <c r="X22" s="24"/>
      <c r="Z22" s="6">
        <f>COUNTA(E22:X22)</f>
        <v>0</v>
      </c>
      <c r="AA22" s="26" t="e">
        <f>COUNTIF($E22:$X22,"P")/Z22</f>
        <v>#DIV/0!</v>
      </c>
      <c r="AB22" s="9" t="e">
        <f>COUNTIF($E22:$X22,"A")/Z22</f>
        <v>#DIV/0!</v>
      </c>
      <c r="AC22" s="9" t="e">
        <f>COUNTIF($E22:$X22,"E")/Z22</f>
        <v>#DIV/0!</v>
      </c>
      <c r="AD22" s="9" t="e">
        <f>IF(B22&lt;&gt;"OUI",COUNTIF($E22:$X22,"Disp")/Z22,1)</f>
        <v>#DIV/0!</v>
      </c>
      <c r="AE22" s="13" t="e">
        <f t="shared" si="0"/>
        <v>#DIV/0!</v>
      </c>
      <c r="AF22" s="13"/>
    </row>
    <row r="23" spans="1:32" x14ac:dyDescent="0.3">
      <c r="C23" s="18" t="s">
        <v>88</v>
      </c>
      <c r="D23" s="10" t="s">
        <v>14</v>
      </c>
      <c r="E23" s="23"/>
      <c r="F23" s="24"/>
      <c r="G23" s="23"/>
      <c r="H23" s="24"/>
      <c r="I23" s="23"/>
      <c r="J23" s="24"/>
      <c r="K23" s="23"/>
      <c r="L23" s="24"/>
      <c r="M23" s="23"/>
      <c r="N23" s="24"/>
      <c r="O23" s="23"/>
      <c r="P23" s="24"/>
      <c r="Q23" s="23"/>
      <c r="R23" s="24"/>
      <c r="S23" s="23"/>
      <c r="T23" s="24"/>
      <c r="U23" s="23"/>
      <c r="V23" s="24"/>
      <c r="W23" s="23"/>
      <c r="X23" s="24"/>
      <c r="Z23" s="6">
        <f>COUNTA(E23:X23)</f>
        <v>0</v>
      </c>
      <c r="AA23" s="26" t="e">
        <f>COUNTIF($E23:$X23,"P")/Z23</f>
        <v>#DIV/0!</v>
      </c>
      <c r="AB23" s="9" t="e">
        <f>COUNTIF($E23:$X23,"A")/Z23</f>
        <v>#DIV/0!</v>
      </c>
      <c r="AC23" s="9" t="e">
        <f>COUNTIF($E23:$X23,"E")/Z23</f>
        <v>#DIV/0!</v>
      </c>
      <c r="AD23" s="9" t="e">
        <f>IF(B23&lt;&gt;"OUI",COUNTIF($E23:$X23,"Disp")/Z23,1)</f>
        <v>#DIV/0!</v>
      </c>
      <c r="AE23" s="13" t="e">
        <f t="shared" si="0"/>
        <v>#DIV/0!</v>
      </c>
      <c r="AF23" s="13"/>
    </row>
    <row r="24" spans="1:32" x14ac:dyDescent="0.3">
      <c r="C24" s="18" t="s">
        <v>62</v>
      </c>
      <c r="D24" s="10" t="s">
        <v>14</v>
      </c>
      <c r="E24" s="23"/>
      <c r="F24" s="24"/>
      <c r="G24" s="23"/>
      <c r="H24" s="24"/>
      <c r="I24" s="23"/>
      <c r="J24" s="24"/>
      <c r="K24" s="23"/>
      <c r="L24" s="24"/>
      <c r="M24" s="23"/>
      <c r="N24" s="24"/>
      <c r="O24" s="23"/>
      <c r="P24" s="24"/>
      <c r="Q24" s="23"/>
      <c r="R24" s="24"/>
      <c r="S24" s="23"/>
      <c r="T24" s="24"/>
      <c r="U24" s="23"/>
      <c r="V24" s="24"/>
      <c r="W24" s="23"/>
      <c r="X24" s="24"/>
      <c r="Z24" s="6">
        <f>COUNTA(E24:X24)</f>
        <v>0</v>
      </c>
      <c r="AA24" s="26" t="e">
        <f>COUNTIF($E24:$X24,"P")/Z24</f>
        <v>#DIV/0!</v>
      </c>
      <c r="AB24" s="9" t="e">
        <f>COUNTIF($E24:$X24,"A")/Z24</f>
        <v>#DIV/0!</v>
      </c>
      <c r="AC24" s="9" t="e">
        <f>COUNTIF($E24:$X24,"E")/Z24</f>
        <v>#DIV/0!</v>
      </c>
      <c r="AD24" s="9" t="e">
        <f>IF(B24&lt;&gt;"OUI",COUNTIF($E24:$X24,"Disp")/Z24,1)</f>
        <v>#DIV/0!</v>
      </c>
      <c r="AE24" s="13" t="e">
        <f t="shared" si="0"/>
        <v>#DIV/0!</v>
      </c>
      <c r="AF24" s="13"/>
    </row>
    <row r="25" spans="1:32" x14ac:dyDescent="0.3">
      <c r="C25" s="18" t="s">
        <v>63</v>
      </c>
      <c r="D25" s="10" t="s">
        <v>12</v>
      </c>
      <c r="E25" s="23"/>
      <c r="F25" s="24"/>
      <c r="G25" s="23"/>
      <c r="H25" s="24"/>
      <c r="I25" s="23"/>
      <c r="J25" s="24"/>
      <c r="K25" s="23"/>
      <c r="L25" s="24"/>
      <c r="M25" s="23"/>
      <c r="N25" s="24"/>
      <c r="O25" s="23"/>
      <c r="P25" s="24"/>
      <c r="Q25" s="23"/>
      <c r="R25" s="24"/>
      <c r="S25" s="23"/>
      <c r="T25" s="24"/>
      <c r="U25" s="23"/>
      <c r="V25" s="24"/>
      <c r="W25" s="23"/>
      <c r="X25" s="24"/>
      <c r="Z25" s="6">
        <f>COUNTA(E25:X25)</f>
        <v>0</v>
      </c>
      <c r="AA25" s="26" t="e">
        <f>COUNTIF($E25:$X25,"P")/Z25</f>
        <v>#DIV/0!</v>
      </c>
      <c r="AB25" s="9" t="e">
        <f>COUNTIF($E25:$X25,"A")/Z25</f>
        <v>#DIV/0!</v>
      </c>
      <c r="AC25" s="9" t="e">
        <f>COUNTIF($E25:$X25,"E")/Z25</f>
        <v>#DIV/0!</v>
      </c>
      <c r="AD25" s="9" t="e">
        <f>IF(B25&lt;&gt;"OUI",COUNTIF($E25:$X25,"Disp")/Z25,1)</f>
        <v>#DIV/0!</v>
      </c>
      <c r="AE25" s="13" t="e">
        <f t="shared" si="0"/>
        <v>#DIV/0!</v>
      </c>
      <c r="AF25" s="13"/>
    </row>
    <row r="26" spans="1:32" x14ac:dyDescent="0.3">
      <c r="A26" s="4" t="s">
        <v>43</v>
      </c>
      <c r="C26" s="18" t="s">
        <v>64</v>
      </c>
      <c r="D26" s="10" t="s">
        <v>13</v>
      </c>
      <c r="E26" s="23"/>
      <c r="F26" s="24"/>
      <c r="G26" s="23"/>
      <c r="H26" s="24"/>
      <c r="I26" s="23"/>
      <c r="J26" s="24"/>
      <c r="K26" s="23"/>
      <c r="L26" s="24"/>
      <c r="M26" s="23"/>
      <c r="N26" s="24"/>
      <c r="O26" s="23"/>
      <c r="P26" s="24"/>
      <c r="Q26" s="23"/>
      <c r="R26" s="24"/>
      <c r="S26" s="23"/>
      <c r="T26" s="24"/>
      <c r="U26" s="23"/>
      <c r="V26" s="24"/>
      <c r="W26" s="23"/>
      <c r="X26" s="24"/>
      <c r="Z26" s="6">
        <f>COUNTA(E26:X26)</f>
        <v>0</v>
      </c>
      <c r="AA26" s="26" t="e">
        <f>COUNTIF($E26:$X26,"P")/Z26</f>
        <v>#DIV/0!</v>
      </c>
      <c r="AB26" s="9" t="e">
        <f>COUNTIF($E26:$X26,"A")/Z26</f>
        <v>#DIV/0!</v>
      </c>
      <c r="AC26" s="9" t="e">
        <f>COUNTIF($E26:$X26,"E")/Z26</f>
        <v>#DIV/0!</v>
      </c>
      <c r="AD26" s="9" t="e">
        <f>IF(B26&lt;&gt;"OUI",COUNTIF($E26:$X26,"Disp")/Z26,1)</f>
        <v>#DIV/0!</v>
      </c>
      <c r="AE26" s="13" t="e">
        <f t="shared" si="0"/>
        <v>#DIV/0!</v>
      </c>
      <c r="AF26" s="13" t="e">
        <f t="shared" si="1"/>
        <v>#DIV/0!</v>
      </c>
    </row>
    <row r="27" spans="1:32" x14ac:dyDescent="0.3">
      <c r="C27" s="18" t="s">
        <v>65</v>
      </c>
      <c r="D27" s="10" t="s">
        <v>12</v>
      </c>
      <c r="E27" s="23"/>
      <c r="F27" s="24"/>
      <c r="G27" s="23"/>
      <c r="H27" s="24"/>
      <c r="I27" s="23"/>
      <c r="J27" s="24"/>
      <c r="K27" s="23"/>
      <c r="L27" s="24"/>
      <c r="M27" s="23"/>
      <c r="N27" s="24"/>
      <c r="O27" s="23"/>
      <c r="P27" s="24"/>
      <c r="Q27" s="23"/>
      <c r="R27" s="24"/>
      <c r="S27" s="23"/>
      <c r="T27" s="24"/>
      <c r="U27" s="23"/>
      <c r="V27" s="24"/>
      <c r="W27" s="23"/>
      <c r="X27" s="24"/>
      <c r="Z27" s="6">
        <f>COUNTA(E27:X27)</f>
        <v>0</v>
      </c>
      <c r="AA27" s="26" t="e">
        <f>COUNTIF($E27:$X27,"P")/Z27</f>
        <v>#DIV/0!</v>
      </c>
      <c r="AB27" s="9" t="e">
        <f>COUNTIF($E27:$X27,"A")/Z27</f>
        <v>#DIV/0!</v>
      </c>
      <c r="AC27" s="9" t="e">
        <f>COUNTIF($E27:$X27,"E")/Z27</f>
        <v>#DIV/0!</v>
      </c>
      <c r="AD27" s="9" t="e">
        <f>IF(B27&lt;&gt;"OUI",COUNTIF($E27:$X27,"Disp")/Z27,1)</f>
        <v>#DIV/0!</v>
      </c>
      <c r="AE27" s="13" t="e">
        <f t="shared" si="0"/>
        <v>#DIV/0!</v>
      </c>
      <c r="AF27" s="13"/>
    </row>
    <row r="28" spans="1:32" x14ac:dyDescent="0.3">
      <c r="C28" s="18" t="s">
        <v>66</v>
      </c>
      <c r="D28" s="10" t="s">
        <v>13</v>
      </c>
      <c r="E28" s="23"/>
      <c r="F28" s="24"/>
      <c r="G28" s="23"/>
      <c r="H28" s="24"/>
      <c r="I28" s="23"/>
      <c r="J28" s="24"/>
      <c r="K28" s="23"/>
      <c r="L28" s="24"/>
      <c r="M28" s="23"/>
      <c r="N28" s="24"/>
      <c r="O28" s="23"/>
      <c r="P28" s="24"/>
      <c r="Q28" s="23"/>
      <c r="R28" s="24"/>
      <c r="S28" s="23"/>
      <c r="T28" s="24"/>
      <c r="U28" s="23"/>
      <c r="V28" s="24"/>
      <c r="W28" s="23"/>
      <c r="X28" s="24"/>
      <c r="Z28" s="6">
        <f>COUNTA(E28:X28)</f>
        <v>0</v>
      </c>
      <c r="AA28" s="26" t="e">
        <f>COUNTIF($E28:$X28,"P")/Z28</f>
        <v>#DIV/0!</v>
      </c>
      <c r="AB28" s="9" t="e">
        <f>COUNTIF($E28:$X28,"A")/Z28</f>
        <v>#DIV/0!</v>
      </c>
      <c r="AC28" s="9" t="e">
        <f>COUNTIF($E28:$X28,"E")/Z28</f>
        <v>#DIV/0!</v>
      </c>
      <c r="AD28" s="9" t="e">
        <f>IF(B28&lt;&gt;"OUI",COUNTIF($E28:$X28,"Disp")/Z28,1)</f>
        <v>#DIV/0!</v>
      </c>
      <c r="AE28" s="13" t="e">
        <f t="shared" si="0"/>
        <v>#DIV/0!</v>
      </c>
      <c r="AF28" s="13"/>
    </row>
    <row r="29" spans="1:32" x14ac:dyDescent="0.3">
      <c r="A29" s="4" t="s">
        <v>70</v>
      </c>
      <c r="C29" s="18" t="s">
        <v>75</v>
      </c>
      <c r="D29" s="10" t="s">
        <v>13</v>
      </c>
      <c r="E29" s="23"/>
      <c r="F29" s="24"/>
      <c r="G29" s="23"/>
      <c r="H29" s="24"/>
      <c r="I29" s="23"/>
      <c r="J29" s="24"/>
      <c r="K29" s="23"/>
      <c r="L29" s="24"/>
      <c r="M29" s="23"/>
      <c r="N29" s="24"/>
      <c r="O29" s="23"/>
      <c r="P29" s="24"/>
      <c r="Q29" s="23"/>
      <c r="R29" s="24"/>
      <c r="S29" s="23"/>
      <c r="T29" s="24"/>
      <c r="U29" s="23"/>
      <c r="V29" s="24"/>
      <c r="W29" s="23"/>
      <c r="X29" s="24"/>
      <c r="Z29" s="6">
        <f>COUNTA(E29:X29)</f>
        <v>0</v>
      </c>
      <c r="AA29" s="26" t="e">
        <f>COUNTIF($E29:$X29,"P")/Z29</f>
        <v>#DIV/0!</v>
      </c>
      <c r="AB29" s="9" t="e">
        <f>COUNTIF($E29:$X29,"A")/Z29</f>
        <v>#DIV/0!</v>
      </c>
      <c r="AC29" s="9" t="e">
        <f>COUNTIF($E29:$X29,"E")/Z29</f>
        <v>#DIV/0!</v>
      </c>
      <c r="AD29" s="9" t="e">
        <f>IF(B29&lt;&gt;"OUI",COUNTIF($E29:$X29,"Disp")/Z29,1)</f>
        <v>#DIV/0!</v>
      </c>
      <c r="AE29" s="13" t="e">
        <f t="shared" si="0"/>
        <v>#DIV/0!</v>
      </c>
      <c r="AF29" s="13" t="e">
        <f t="shared" si="1"/>
        <v>#DIV/0!</v>
      </c>
    </row>
    <row r="30" spans="1:32" x14ac:dyDescent="0.3">
      <c r="A30" s="4" t="s">
        <v>72</v>
      </c>
      <c r="C30" s="18" t="s">
        <v>76</v>
      </c>
      <c r="D30" s="10" t="s">
        <v>13</v>
      </c>
      <c r="E30" s="23"/>
      <c r="F30" s="24"/>
      <c r="G30" s="23"/>
      <c r="H30" s="24"/>
      <c r="I30" s="23"/>
      <c r="J30" s="24"/>
      <c r="K30" s="23"/>
      <c r="L30" s="24"/>
      <c r="M30" s="23"/>
      <c r="N30" s="24"/>
      <c r="O30" s="23"/>
      <c r="P30" s="24"/>
      <c r="Q30" s="23"/>
      <c r="R30" s="24"/>
      <c r="S30" s="23"/>
      <c r="T30" s="24"/>
      <c r="U30" s="23"/>
      <c r="V30" s="24"/>
      <c r="W30" s="23"/>
      <c r="X30" s="24"/>
      <c r="Z30" s="6">
        <f>COUNTA(E30:X30)</f>
        <v>0</v>
      </c>
      <c r="AA30" s="26" t="e">
        <f>COUNTIF($E30:$X30,"P")/Z30</f>
        <v>#DIV/0!</v>
      </c>
      <c r="AB30" s="9" t="e">
        <f>COUNTIF($E30:$X30,"A")/Z30</f>
        <v>#DIV/0!</v>
      </c>
      <c r="AC30" s="9" t="e">
        <f>COUNTIF($E30:$X30,"E")/Z30</f>
        <v>#DIV/0!</v>
      </c>
      <c r="AD30" s="9" t="e">
        <f>IF(B30&lt;&gt;"OUI",COUNTIF($E30:$X30,"Disp")/Z30,1)</f>
        <v>#DIV/0!</v>
      </c>
      <c r="AE30" s="13" t="e">
        <f t="shared" si="0"/>
        <v>#DIV/0!</v>
      </c>
      <c r="AF30" s="13" t="e">
        <f t="shared" si="1"/>
        <v>#DIV/0!</v>
      </c>
    </row>
    <row r="31" spans="1:32" x14ac:dyDescent="0.3">
      <c r="C31" s="18" t="s">
        <v>67</v>
      </c>
      <c r="D31" s="10" t="s">
        <v>13</v>
      </c>
      <c r="E31" s="23"/>
      <c r="F31" s="24"/>
      <c r="G31" s="23"/>
      <c r="H31" s="24"/>
      <c r="I31" s="23"/>
      <c r="J31" s="24"/>
      <c r="K31" s="23"/>
      <c r="L31" s="24"/>
      <c r="M31" s="23"/>
      <c r="N31" s="24"/>
      <c r="O31" s="23"/>
      <c r="P31" s="24"/>
      <c r="Q31" s="23"/>
      <c r="R31" s="24"/>
      <c r="S31" s="23"/>
      <c r="T31" s="24"/>
      <c r="U31" s="23"/>
      <c r="V31" s="24"/>
      <c r="W31" s="23"/>
      <c r="X31" s="24"/>
      <c r="Z31" s="6">
        <f>COUNTA(E31:X31)</f>
        <v>0</v>
      </c>
      <c r="AA31" s="26" t="e">
        <f>COUNTIF($E31:$X31,"P")/Z31</f>
        <v>#DIV/0!</v>
      </c>
      <c r="AB31" s="9" t="e">
        <f>COUNTIF($E31:$X31,"A")/Z31</f>
        <v>#DIV/0!</v>
      </c>
      <c r="AC31" s="9" t="e">
        <f>COUNTIF($E31:$X31,"E")/Z31</f>
        <v>#DIV/0!</v>
      </c>
      <c r="AD31" s="9" t="e">
        <f>IF(B31&lt;&gt;"OUI",COUNTIF($E31:$X31,"Disp")/Z31,1)</f>
        <v>#DIV/0!</v>
      </c>
      <c r="AE31" s="13" t="e">
        <f t="shared" si="0"/>
        <v>#DIV/0!</v>
      </c>
      <c r="AF31" s="13"/>
    </row>
    <row r="32" spans="1:32" x14ac:dyDescent="0.3">
      <c r="A32" s="4" t="s">
        <v>73</v>
      </c>
      <c r="C32" s="18" t="s">
        <v>69</v>
      </c>
      <c r="D32" s="10" t="s">
        <v>13</v>
      </c>
      <c r="E32" s="23"/>
      <c r="F32" s="24"/>
      <c r="G32" s="23"/>
      <c r="H32" s="24"/>
      <c r="I32" s="23"/>
      <c r="J32" s="24"/>
      <c r="K32" s="23"/>
      <c r="L32" s="24"/>
      <c r="M32" s="23"/>
      <c r="N32" s="24"/>
      <c r="O32" s="23"/>
      <c r="P32" s="24"/>
      <c r="Q32" s="23"/>
      <c r="R32" s="24"/>
      <c r="S32" s="23"/>
      <c r="T32" s="24"/>
      <c r="U32" s="23"/>
      <c r="V32" s="24"/>
      <c r="W32" s="23"/>
      <c r="X32" s="24"/>
      <c r="Z32" s="6">
        <f>COUNTA(E32:X32)</f>
        <v>0</v>
      </c>
      <c r="AA32" s="26" t="e">
        <f>COUNTIF($E32:$X32,"P")/Z32</f>
        <v>#DIV/0!</v>
      </c>
      <c r="AB32" s="9" t="e">
        <f>COUNTIF($E32:$X32,"A")/Z32</f>
        <v>#DIV/0!</v>
      </c>
      <c r="AC32" s="9" t="e">
        <f>COUNTIF($E32:$X32,"E")/Z32</f>
        <v>#DIV/0!</v>
      </c>
      <c r="AD32" s="9" t="e">
        <f>IF(B32&lt;&gt;"OUI",COUNTIF($E32:$X32,"Disp")/Z32,1)</f>
        <v>#DIV/0!</v>
      </c>
      <c r="AE32" s="13" t="e">
        <f t="shared" si="0"/>
        <v>#DIV/0!</v>
      </c>
      <c r="AF32" s="13" t="e">
        <f t="shared" si="1"/>
        <v>#DIV/0!</v>
      </c>
    </row>
    <row r="33" spans="3:33" x14ac:dyDescent="0.3">
      <c r="C33" s="18"/>
      <c r="E33" s="23"/>
      <c r="F33" s="24"/>
      <c r="G33" s="23"/>
      <c r="H33" s="24"/>
      <c r="I33" s="23"/>
      <c r="J33" s="24"/>
      <c r="K33" s="23"/>
      <c r="L33" s="24"/>
      <c r="M33" s="23"/>
      <c r="N33" s="24"/>
      <c r="O33" s="23"/>
      <c r="P33" s="24"/>
      <c r="Q33" s="23"/>
      <c r="R33" s="24"/>
      <c r="S33" s="23"/>
      <c r="T33" s="24"/>
      <c r="U33" s="23"/>
      <c r="V33" s="24"/>
      <c r="W33" s="23"/>
      <c r="X33" s="24"/>
      <c r="Z33" s="6"/>
      <c r="AA33" s="26"/>
      <c r="AB33" s="9"/>
      <c r="AC33" s="9"/>
      <c r="AD33" s="9"/>
      <c r="AE33" s="13"/>
      <c r="AF33" s="13"/>
    </row>
    <row r="34" spans="3:33" x14ac:dyDescent="0.3">
      <c r="C34" s="18"/>
      <c r="E34" s="23"/>
      <c r="F34" s="24"/>
      <c r="G34" s="23"/>
      <c r="H34" s="24"/>
      <c r="I34" s="23"/>
      <c r="J34" s="24"/>
      <c r="K34" s="23"/>
      <c r="L34" s="24"/>
      <c r="M34" s="23"/>
      <c r="N34" s="24"/>
      <c r="O34" s="23"/>
      <c r="P34" s="24"/>
      <c r="Q34" s="23"/>
      <c r="R34" s="24"/>
      <c r="S34" s="23"/>
      <c r="T34" s="24"/>
      <c r="U34" s="23"/>
      <c r="V34" s="24"/>
      <c r="W34" s="23"/>
      <c r="X34" s="24"/>
      <c r="Z34" s="6"/>
      <c r="AA34" s="26"/>
      <c r="AB34" s="9"/>
      <c r="AC34" s="9"/>
      <c r="AD34" s="9"/>
      <c r="AE34" s="13"/>
      <c r="AF34" s="6"/>
    </row>
    <row r="35" spans="3:33" x14ac:dyDescent="0.3">
      <c r="C35" s="18"/>
      <c r="E35" s="23"/>
      <c r="F35" s="24"/>
      <c r="G35" s="23"/>
      <c r="H35" s="24"/>
      <c r="I35" s="23"/>
      <c r="J35" s="24"/>
      <c r="K35" s="23"/>
      <c r="L35" s="24"/>
      <c r="M35" s="23"/>
      <c r="N35" s="24"/>
      <c r="O35" s="23"/>
      <c r="P35" s="24"/>
      <c r="Q35" s="23"/>
      <c r="R35" s="24"/>
      <c r="S35" s="23"/>
      <c r="T35" s="24"/>
      <c r="U35" s="23"/>
      <c r="V35" s="24"/>
      <c r="W35" s="23"/>
      <c r="X35" s="24"/>
      <c r="Z35" s="6"/>
      <c r="AA35" s="26"/>
      <c r="AB35" s="9"/>
      <c r="AC35" s="9"/>
      <c r="AD35" s="9"/>
      <c r="AE35" s="13"/>
      <c r="AF35" s="13"/>
    </row>
    <row r="36" spans="3:33" x14ac:dyDescent="0.3">
      <c r="C36" s="18"/>
      <c r="E36" s="23"/>
      <c r="F36" s="24"/>
      <c r="G36" s="23"/>
      <c r="H36" s="24"/>
      <c r="I36" s="23"/>
      <c r="J36" s="24"/>
      <c r="K36" s="23"/>
      <c r="L36" s="24"/>
      <c r="M36" s="23"/>
      <c r="N36" s="24"/>
      <c r="O36" s="23"/>
      <c r="P36" s="24"/>
      <c r="Q36" s="23"/>
      <c r="R36" s="24"/>
      <c r="S36" s="23"/>
      <c r="T36" s="24"/>
      <c r="U36" s="23"/>
      <c r="V36" s="24"/>
      <c r="W36" s="23"/>
      <c r="X36" s="24"/>
      <c r="Z36" s="6"/>
      <c r="AA36" s="26"/>
      <c r="AB36" s="9"/>
      <c r="AC36" s="9"/>
      <c r="AD36" s="9"/>
      <c r="AE36" s="13"/>
      <c r="AF36" s="13"/>
    </row>
    <row r="37" spans="3:33" x14ac:dyDescent="0.3">
      <c r="C37" s="18"/>
      <c r="E37" s="23"/>
      <c r="F37" s="24"/>
      <c r="G37" s="23"/>
      <c r="H37" s="24"/>
      <c r="I37" s="23"/>
      <c r="J37" s="24"/>
      <c r="K37" s="23"/>
      <c r="L37" s="24"/>
      <c r="M37" s="23"/>
      <c r="N37" s="24"/>
      <c r="O37" s="23"/>
      <c r="P37" s="24"/>
      <c r="Q37" s="23"/>
      <c r="R37" s="24"/>
      <c r="S37" s="23"/>
      <c r="T37" s="24"/>
      <c r="U37" s="23"/>
      <c r="V37" s="24"/>
      <c r="W37" s="23"/>
      <c r="X37" s="24"/>
      <c r="Z37" s="6"/>
      <c r="AA37" s="26"/>
      <c r="AB37" s="9"/>
      <c r="AC37" s="9"/>
      <c r="AD37" s="9"/>
      <c r="AE37" s="13"/>
      <c r="AF37" s="6"/>
    </row>
    <row r="38" spans="3:33" x14ac:dyDescent="0.3">
      <c r="AF38" s="38"/>
      <c r="AG38" s="39"/>
    </row>
    <row r="39" spans="3:33" x14ac:dyDescent="0.3">
      <c r="C39" s="11" t="s">
        <v>19</v>
      </c>
      <c r="E39" s="7">
        <f>SUM(E40:E43)</f>
        <v>0</v>
      </c>
      <c r="F39" s="7">
        <f t="shared" ref="F39:V39" si="2">SUM(F40:F43)</f>
        <v>0</v>
      </c>
      <c r="G39" s="7">
        <f t="shared" si="2"/>
        <v>0</v>
      </c>
      <c r="H39" s="7">
        <f t="shared" si="2"/>
        <v>0</v>
      </c>
      <c r="I39" s="7">
        <f t="shared" si="2"/>
        <v>0</v>
      </c>
      <c r="J39" s="7">
        <f t="shared" si="2"/>
        <v>0</v>
      </c>
      <c r="K39" s="7">
        <f t="shared" si="2"/>
        <v>0</v>
      </c>
      <c r="L39" s="7">
        <f t="shared" si="2"/>
        <v>0</v>
      </c>
      <c r="M39" s="7">
        <f t="shared" si="2"/>
        <v>0</v>
      </c>
      <c r="N39" s="7">
        <f t="shared" si="2"/>
        <v>0</v>
      </c>
      <c r="O39" s="7">
        <f t="shared" si="2"/>
        <v>0</v>
      </c>
      <c r="P39" s="7">
        <f t="shared" si="2"/>
        <v>0</v>
      </c>
      <c r="Q39" s="7">
        <f t="shared" si="2"/>
        <v>0</v>
      </c>
      <c r="R39" s="7">
        <f t="shared" si="2"/>
        <v>0</v>
      </c>
      <c r="S39" s="7">
        <f t="shared" si="2"/>
        <v>0</v>
      </c>
      <c r="T39" s="7">
        <f t="shared" si="2"/>
        <v>0</v>
      </c>
      <c r="U39" s="7">
        <f t="shared" si="2"/>
        <v>0</v>
      </c>
      <c r="V39" s="7">
        <f t="shared" si="2"/>
        <v>0</v>
      </c>
      <c r="W39" s="7">
        <f>SUM(W40:W43)</f>
        <v>0</v>
      </c>
      <c r="X39" s="7">
        <f t="shared" ref="X39" si="3">SUM(X40:X43)</f>
        <v>0</v>
      </c>
      <c r="Z39" s="10"/>
    </row>
    <row r="40" spans="3:33" x14ac:dyDescent="0.3">
      <c r="C40" s="11" t="s">
        <v>15</v>
      </c>
      <c r="E40" s="19">
        <f>COUNTIF(E4:E37,"P")</f>
        <v>0</v>
      </c>
      <c r="F40" s="19">
        <f>COUNTIF(F4:F37,"P")</f>
        <v>0</v>
      </c>
      <c r="G40" s="19">
        <f>COUNTIF(G4:G37,"P")</f>
        <v>0</v>
      </c>
      <c r="H40" s="19">
        <f>COUNTIF(H4:H37,"P")</f>
        <v>0</v>
      </c>
      <c r="I40" s="19">
        <f>COUNTIF(I4:I37,"P")</f>
        <v>0</v>
      </c>
      <c r="J40" s="19">
        <f>COUNTIF(J4:J37,"P")</f>
        <v>0</v>
      </c>
      <c r="K40" s="19">
        <f>COUNTIF(K4:K37,"P")</f>
        <v>0</v>
      </c>
      <c r="L40" s="19">
        <f>COUNTIF(L4:L37,"P")</f>
        <v>0</v>
      </c>
      <c r="M40" s="19">
        <f>COUNTIF(M4:M37,"P")</f>
        <v>0</v>
      </c>
      <c r="N40" s="19">
        <f>COUNTIF(N4:N37,"P")</f>
        <v>0</v>
      </c>
      <c r="O40" s="19">
        <f>COUNTIF(O4:O37,"P")</f>
        <v>0</v>
      </c>
      <c r="P40" s="19">
        <f>COUNTIF(P4:P37,"P")</f>
        <v>0</v>
      </c>
      <c r="Q40" s="19">
        <f>COUNTIF(Q4:Q37,"P")</f>
        <v>0</v>
      </c>
      <c r="R40" s="19">
        <f>COUNTIF(R4:R37,"P")</f>
        <v>0</v>
      </c>
      <c r="S40" s="19">
        <f>COUNTIF(S4:S37,"P")</f>
        <v>0</v>
      </c>
      <c r="T40" s="19">
        <f>COUNTIF(T4:T37,"P")</f>
        <v>0</v>
      </c>
      <c r="U40" s="19">
        <f>COUNTIF(U4:U37,"P")</f>
        <v>0</v>
      </c>
      <c r="V40" s="19">
        <f>COUNTIF(V4:V37,"P")</f>
        <v>0</v>
      </c>
      <c r="W40" s="19">
        <f>COUNTIF(W4:W37,"P")</f>
        <v>0</v>
      </c>
      <c r="X40" s="19">
        <f>COUNTIF(X4:X37,"P")</f>
        <v>0</v>
      </c>
      <c r="Z40" s="10"/>
      <c r="AB40" s="29"/>
      <c r="AC40" s="29"/>
    </row>
    <row r="41" spans="3:33" x14ac:dyDescent="0.3">
      <c r="C41" s="11" t="s">
        <v>17</v>
      </c>
      <c r="E41" s="7">
        <f>COUNTIF(E4:E37,"A")</f>
        <v>0</v>
      </c>
      <c r="F41" s="7">
        <f>COUNTIF(F4:F37,"A")</f>
        <v>0</v>
      </c>
      <c r="G41" s="7">
        <f>COUNTIF(G4:G37,"A")</f>
        <v>0</v>
      </c>
      <c r="H41" s="7">
        <f>COUNTIF(H4:H37,"A")</f>
        <v>0</v>
      </c>
      <c r="I41" s="7">
        <f>COUNTIF(I4:I37,"A")</f>
        <v>0</v>
      </c>
      <c r="J41" s="7">
        <f>COUNTIF(J4:J37,"A")</f>
        <v>0</v>
      </c>
      <c r="K41" s="7">
        <f>COUNTIF(K4:K37,"A")</f>
        <v>0</v>
      </c>
      <c r="L41" s="7">
        <f>COUNTIF(L4:L37,"A")</f>
        <v>0</v>
      </c>
      <c r="M41" s="7">
        <f>COUNTIF(M4:M37,"A")</f>
        <v>0</v>
      </c>
      <c r="N41" s="7">
        <f>COUNTIF(N4:N37,"A")</f>
        <v>0</v>
      </c>
      <c r="O41" s="7">
        <f>COUNTIF(O4:O37,"A")</f>
        <v>0</v>
      </c>
      <c r="P41" s="7">
        <f>COUNTIF(P4:P37,"A")</f>
        <v>0</v>
      </c>
      <c r="Q41" s="7">
        <f>COUNTIF(Q4:Q37,"A")</f>
        <v>0</v>
      </c>
      <c r="R41" s="7">
        <f>COUNTIF(R4:R37,"A")</f>
        <v>0</v>
      </c>
      <c r="S41" s="7">
        <f>COUNTIF(S4:S37,"A")</f>
        <v>0</v>
      </c>
      <c r="T41" s="7">
        <f>COUNTIF(T4:T37,"A")</f>
        <v>0</v>
      </c>
      <c r="U41" s="7">
        <f>COUNTIF(U4:U37,"A")</f>
        <v>0</v>
      </c>
      <c r="V41" s="7">
        <f>COUNTIF(V4:V37,"A")</f>
        <v>0</v>
      </c>
      <c r="W41" s="7">
        <f>COUNTIF(W4:W37,"A")</f>
        <v>0</v>
      </c>
      <c r="X41" s="7">
        <f>COUNTIF(X4:X37,"A")</f>
        <v>0</v>
      </c>
      <c r="Z41" s="10"/>
      <c r="AB41" s="29"/>
    </row>
    <row r="42" spans="3:33" x14ac:dyDescent="0.3">
      <c r="C42" s="11" t="s">
        <v>16</v>
      </c>
      <c r="E42" s="7">
        <f>COUNTIF(E4:E37,"E")</f>
        <v>0</v>
      </c>
      <c r="F42" s="7">
        <f>COUNTIF(F4:F37,"E")</f>
        <v>0</v>
      </c>
      <c r="G42" s="7">
        <f>COUNTIF(G4:G37,"E")</f>
        <v>0</v>
      </c>
      <c r="H42" s="7">
        <f>COUNTIF(H4:H37,"E")</f>
        <v>0</v>
      </c>
      <c r="I42" s="7">
        <f>COUNTIF(I4:I37,"E")</f>
        <v>0</v>
      </c>
      <c r="J42" s="7">
        <f>COUNTIF(J4:J37,"E")</f>
        <v>0</v>
      </c>
      <c r="K42" s="7">
        <f>COUNTIF(K4:K37,"E")</f>
        <v>0</v>
      </c>
      <c r="L42" s="7">
        <f>COUNTIF(L4:L37,"E")</f>
        <v>0</v>
      </c>
      <c r="M42" s="7">
        <f>COUNTIF(M4:M37,"E")</f>
        <v>0</v>
      </c>
      <c r="N42" s="7">
        <f>COUNTIF(N4:N37,"E")</f>
        <v>0</v>
      </c>
      <c r="O42" s="7">
        <f>COUNTIF(O4:O37,"E")</f>
        <v>0</v>
      </c>
      <c r="P42" s="7">
        <f>COUNTIF(P4:P37,"E")</f>
        <v>0</v>
      </c>
      <c r="Q42" s="7">
        <f>COUNTIF(Q4:Q37,"E")</f>
        <v>0</v>
      </c>
      <c r="R42" s="7">
        <f>COUNTIF(R4:R37,"E")</f>
        <v>0</v>
      </c>
      <c r="S42" s="7">
        <f>COUNTIF(S4:S37,"E")</f>
        <v>0</v>
      </c>
      <c r="T42" s="7">
        <f>COUNTIF(T4:T37,"E")</f>
        <v>0</v>
      </c>
      <c r="U42" s="7">
        <f>COUNTIF(U4:U37,"E")</f>
        <v>0</v>
      </c>
      <c r="V42" s="7">
        <f>COUNTIF(V4:V37,"E")</f>
        <v>0</v>
      </c>
      <c r="W42" s="7">
        <f>COUNTIF(W4:W37,"E")</f>
        <v>0</v>
      </c>
      <c r="X42" s="7">
        <f>COUNTIF(X4:X37,"E")</f>
        <v>0</v>
      </c>
      <c r="Z42" s="10"/>
      <c r="AB42" s="29"/>
    </row>
    <row r="43" spans="3:33" x14ac:dyDescent="0.3">
      <c r="C43" s="11" t="s">
        <v>18</v>
      </c>
      <c r="E43" s="7">
        <f>COUNTIF(E4:E37,"Disp")</f>
        <v>0</v>
      </c>
      <c r="F43" s="7">
        <f>COUNTIF(F4:F37,"Disp")</f>
        <v>0</v>
      </c>
      <c r="G43" s="7">
        <f>COUNTIF(G4:G37,"Disp")</f>
        <v>0</v>
      </c>
      <c r="H43" s="7">
        <f>COUNTIF(H4:H37,"Disp")</f>
        <v>0</v>
      </c>
      <c r="I43" s="7">
        <f>COUNTIF(I4:I37,"Disp")</f>
        <v>0</v>
      </c>
      <c r="J43" s="7">
        <f>COUNTIF(J4:J37,"Disp")</f>
        <v>0</v>
      </c>
      <c r="K43" s="7">
        <f>COUNTIF(K4:K37,"Disp")</f>
        <v>0</v>
      </c>
      <c r="L43" s="7">
        <f>COUNTIF(L4:L37,"Disp")</f>
        <v>0</v>
      </c>
      <c r="M43" s="7">
        <f>COUNTIF(M4:M37,"Disp")</f>
        <v>0</v>
      </c>
      <c r="N43" s="7">
        <f>COUNTIF(N4:N37,"Disp")</f>
        <v>0</v>
      </c>
      <c r="O43" s="7">
        <f>COUNTIF(O4:O37,"Disp")</f>
        <v>0</v>
      </c>
      <c r="P43" s="7">
        <f>COUNTIF(P4:P37,"Disp")</f>
        <v>0</v>
      </c>
      <c r="Q43" s="7">
        <f>COUNTIF(Q4:Q37,"Disp")</f>
        <v>0</v>
      </c>
      <c r="R43" s="7">
        <f>COUNTIF(R4:R37,"Disp")</f>
        <v>0</v>
      </c>
      <c r="S43" s="7">
        <f>COUNTIF(S4:S37,"Disp")</f>
        <v>0</v>
      </c>
      <c r="T43" s="7">
        <f>COUNTIF(T4:T37,"Disp")</f>
        <v>0</v>
      </c>
      <c r="U43" s="7">
        <f>COUNTIF(U4:U37,"Disp")</f>
        <v>0</v>
      </c>
      <c r="V43" s="7">
        <f>COUNTIF(V4:V37,"Disp")</f>
        <v>0</v>
      </c>
      <c r="W43" s="7">
        <f>COUNTIF(W4:W37,"Disp")</f>
        <v>0</v>
      </c>
      <c r="X43" s="7">
        <f>COUNTIF(X4:X37,"Disp")</f>
        <v>0</v>
      </c>
      <c r="Z43" s="10"/>
      <c r="AB43" s="29"/>
    </row>
    <row r="45" spans="3:33" x14ac:dyDescent="0.3">
      <c r="C45" s="12" t="s">
        <v>20</v>
      </c>
      <c r="E45" s="25" t="str">
        <f>IF(E39=0,"",E40/E39)</f>
        <v/>
      </c>
      <c r="F45" s="25" t="str">
        <f t="shared" ref="F45:X45" si="4">IF(F39=0,"",F40/F39)</f>
        <v/>
      </c>
      <c r="G45" s="25" t="str">
        <f t="shared" si="4"/>
        <v/>
      </c>
      <c r="H45" s="25" t="str">
        <f t="shared" si="4"/>
        <v/>
      </c>
      <c r="I45" s="25" t="str">
        <f t="shared" si="4"/>
        <v/>
      </c>
      <c r="J45" s="25" t="str">
        <f t="shared" si="4"/>
        <v/>
      </c>
      <c r="K45" s="25" t="str">
        <f t="shared" si="4"/>
        <v/>
      </c>
      <c r="L45" s="25" t="str">
        <f t="shared" si="4"/>
        <v/>
      </c>
      <c r="M45" s="25" t="str">
        <f t="shared" si="4"/>
        <v/>
      </c>
      <c r="N45" s="25" t="str">
        <f t="shared" si="4"/>
        <v/>
      </c>
      <c r="O45" s="25" t="str">
        <f t="shared" si="4"/>
        <v/>
      </c>
      <c r="P45" s="25" t="str">
        <f t="shared" si="4"/>
        <v/>
      </c>
      <c r="Q45" s="25" t="str">
        <f t="shared" si="4"/>
        <v/>
      </c>
      <c r="R45" s="25" t="str">
        <f t="shared" si="4"/>
        <v/>
      </c>
      <c r="S45" s="25" t="str">
        <f t="shared" si="4"/>
        <v/>
      </c>
      <c r="T45" s="25" t="str">
        <f t="shared" si="4"/>
        <v/>
      </c>
      <c r="U45" s="25" t="str">
        <f t="shared" si="4"/>
        <v/>
      </c>
      <c r="V45" s="25" t="str">
        <f t="shared" si="4"/>
        <v/>
      </c>
      <c r="W45" s="25" t="str">
        <f t="shared" si="4"/>
        <v/>
      </c>
      <c r="X45" s="25" t="str">
        <f t="shared" si="4"/>
        <v/>
      </c>
    </row>
    <row r="46" spans="3:33" x14ac:dyDescent="0.3">
      <c r="C46" s="12" t="s">
        <v>22</v>
      </c>
      <c r="E46" s="25" t="str">
        <f>IF(E39=0,"",E41/E39)</f>
        <v/>
      </c>
      <c r="F46" s="25" t="str">
        <f t="shared" ref="F46:X46" si="5">IF(F39=0,"",F41/F39)</f>
        <v/>
      </c>
      <c r="G46" s="25" t="str">
        <f t="shared" si="5"/>
        <v/>
      </c>
      <c r="H46" s="25" t="str">
        <f t="shared" si="5"/>
        <v/>
      </c>
      <c r="I46" s="25" t="str">
        <f t="shared" si="5"/>
        <v/>
      </c>
      <c r="J46" s="25" t="str">
        <f t="shared" si="5"/>
        <v/>
      </c>
      <c r="K46" s="25" t="str">
        <f t="shared" si="5"/>
        <v/>
      </c>
      <c r="L46" s="25" t="str">
        <f t="shared" si="5"/>
        <v/>
      </c>
      <c r="M46" s="25" t="str">
        <f t="shared" si="5"/>
        <v/>
      </c>
      <c r="N46" s="25" t="str">
        <f t="shared" si="5"/>
        <v/>
      </c>
      <c r="O46" s="25" t="str">
        <f t="shared" si="5"/>
        <v/>
      </c>
      <c r="P46" s="25" t="str">
        <f t="shared" si="5"/>
        <v/>
      </c>
      <c r="Q46" s="25" t="str">
        <f t="shared" si="5"/>
        <v/>
      </c>
      <c r="R46" s="25" t="str">
        <f t="shared" si="5"/>
        <v/>
      </c>
      <c r="S46" s="25" t="str">
        <f t="shared" si="5"/>
        <v/>
      </c>
      <c r="T46" s="25" t="str">
        <f t="shared" si="5"/>
        <v/>
      </c>
      <c r="U46" s="25" t="str">
        <f t="shared" si="5"/>
        <v/>
      </c>
      <c r="V46" s="25" t="str">
        <f t="shared" si="5"/>
        <v/>
      </c>
      <c r="W46" s="25" t="str">
        <f t="shared" si="5"/>
        <v/>
      </c>
      <c r="X46" s="25" t="str">
        <f t="shared" si="5"/>
        <v/>
      </c>
    </row>
    <row r="47" spans="3:33" x14ac:dyDescent="0.3">
      <c r="C47" s="12" t="s">
        <v>23</v>
      </c>
      <c r="E47" s="25" t="str">
        <f>IF(E39=0,"",E42/E39)</f>
        <v/>
      </c>
      <c r="F47" s="25" t="str">
        <f t="shared" ref="F47:X47" si="6">IF(F39=0,"",F42/F39)</f>
        <v/>
      </c>
      <c r="G47" s="25" t="str">
        <f t="shared" si="6"/>
        <v/>
      </c>
      <c r="H47" s="25" t="str">
        <f t="shared" si="6"/>
        <v/>
      </c>
      <c r="I47" s="25" t="str">
        <f t="shared" si="6"/>
        <v/>
      </c>
      <c r="J47" s="25" t="str">
        <f t="shared" si="6"/>
        <v/>
      </c>
      <c r="K47" s="25" t="str">
        <f t="shared" si="6"/>
        <v/>
      </c>
      <c r="L47" s="25" t="str">
        <f t="shared" si="6"/>
        <v/>
      </c>
      <c r="M47" s="25" t="str">
        <f t="shared" si="6"/>
        <v/>
      </c>
      <c r="N47" s="25" t="str">
        <f t="shared" si="6"/>
        <v/>
      </c>
      <c r="O47" s="25" t="str">
        <f t="shared" si="6"/>
        <v/>
      </c>
      <c r="P47" s="25" t="str">
        <f t="shared" si="6"/>
        <v/>
      </c>
      <c r="Q47" s="25" t="str">
        <f t="shared" si="6"/>
        <v/>
      </c>
      <c r="R47" s="25" t="str">
        <f t="shared" si="6"/>
        <v/>
      </c>
      <c r="S47" s="25" t="str">
        <f t="shared" si="6"/>
        <v/>
      </c>
      <c r="T47" s="25" t="str">
        <f t="shared" si="6"/>
        <v/>
      </c>
      <c r="U47" s="25" t="str">
        <f t="shared" si="6"/>
        <v/>
      </c>
      <c r="V47" s="25" t="str">
        <f t="shared" si="6"/>
        <v/>
      </c>
      <c r="W47" s="25" t="str">
        <f t="shared" si="6"/>
        <v/>
      </c>
      <c r="X47" s="25" t="str">
        <f t="shared" si="6"/>
        <v/>
      </c>
    </row>
    <row r="48" spans="3:33" x14ac:dyDescent="0.3">
      <c r="C48" s="12" t="s">
        <v>21</v>
      </c>
      <c r="E48" s="25" t="str">
        <f>IF(E39=0,"",E43/E39)</f>
        <v/>
      </c>
      <c r="F48" s="25" t="str">
        <f t="shared" ref="F48:X48" si="7">IF(F39=0,"",F43/F39)</f>
        <v/>
      </c>
      <c r="G48" s="25" t="str">
        <f t="shared" si="7"/>
        <v/>
      </c>
      <c r="H48" s="25" t="str">
        <f t="shared" si="7"/>
        <v/>
      </c>
      <c r="I48" s="25" t="str">
        <f t="shared" si="7"/>
        <v/>
      </c>
      <c r="J48" s="25" t="str">
        <f t="shared" si="7"/>
        <v/>
      </c>
      <c r="K48" s="25" t="str">
        <f t="shared" si="7"/>
        <v/>
      </c>
      <c r="L48" s="25" t="str">
        <f t="shared" si="7"/>
        <v/>
      </c>
      <c r="M48" s="25" t="str">
        <f t="shared" si="7"/>
        <v/>
      </c>
      <c r="N48" s="25" t="str">
        <f t="shared" si="7"/>
        <v/>
      </c>
      <c r="O48" s="25" t="str">
        <f t="shared" si="7"/>
        <v/>
      </c>
      <c r="P48" s="25" t="str">
        <f t="shared" si="7"/>
        <v/>
      </c>
      <c r="Q48" s="25" t="str">
        <f t="shared" si="7"/>
        <v/>
      </c>
      <c r="R48" s="25" t="str">
        <f t="shared" si="7"/>
        <v/>
      </c>
      <c r="S48" s="25" t="str">
        <f t="shared" si="7"/>
        <v/>
      </c>
      <c r="T48" s="25" t="str">
        <f t="shared" si="7"/>
        <v/>
      </c>
      <c r="U48" s="25" t="str">
        <f t="shared" si="7"/>
        <v/>
      </c>
      <c r="V48" s="25" t="str">
        <f t="shared" si="7"/>
        <v/>
      </c>
      <c r="W48" s="25" t="str">
        <f t="shared" si="7"/>
        <v/>
      </c>
      <c r="X48" s="25" t="str">
        <f t="shared" si="7"/>
        <v/>
      </c>
    </row>
    <row r="49" spans="3:24" x14ac:dyDescent="0.3"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</row>
    <row r="50" spans="3:24" x14ac:dyDescent="0.3"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</row>
    <row r="51" spans="3:24" x14ac:dyDescent="0.3">
      <c r="C51" s="5" t="s">
        <v>46</v>
      </c>
      <c r="E51" s="28" t="str">
        <f>IF(E39=0,"",E40/(E39-E43))</f>
        <v/>
      </c>
      <c r="F51" s="28" t="str">
        <f t="shared" ref="F51:X51" si="8">IF(F39=0,"",F40/(F39-F43))</f>
        <v/>
      </c>
      <c r="G51" s="28" t="str">
        <f t="shared" si="8"/>
        <v/>
      </c>
      <c r="H51" s="28" t="str">
        <f t="shared" si="8"/>
        <v/>
      </c>
      <c r="I51" s="28" t="str">
        <f t="shared" si="8"/>
        <v/>
      </c>
      <c r="J51" s="28" t="str">
        <f t="shared" si="8"/>
        <v/>
      </c>
      <c r="K51" s="28" t="str">
        <f t="shared" si="8"/>
        <v/>
      </c>
      <c r="L51" s="28" t="str">
        <f t="shared" si="8"/>
        <v/>
      </c>
      <c r="M51" s="28" t="str">
        <f t="shared" si="8"/>
        <v/>
      </c>
      <c r="N51" s="28" t="str">
        <f t="shared" si="8"/>
        <v/>
      </c>
      <c r="O51" s="28" t="str">
        <f t="shared" si="8"/>
        <v/>
      </c>
      <c r="P51" s="28" t="str">
        <f t="shared" si="8"/>
        <v/>
      </c>
      <c r="Q51" s="28" t="str">
        <f t="shared" si="8"/>
        <v/>
      </c>
      <c r="R51" s="28" t="str">
        <f t="shared" si="8"/>
        <v/>
      </c>
      <c r="S51" s="28" t="str">
        <f t="shared" si="8"/>
        <v/>
      </c>
      <c r="T51" s="28" t="str">
        <f t="shared" si="8"/>
        <v/>
      </c>
      <c r="U51" s="28" t="str">
        <f t="shared" si="8"/>
        <v/>
      </c>
      <c r="V51" s="28" t="str">
        <f t="shared" si="8"/>
        <v/>
      </c>
      <c r="W51" s="28" t="str">
        <f t="shared" si="8"/>
        <v/>
      </c>
      <c r="X51" s="28" t="str">
        <f t="shared" si="8"/>
        <v/>
      </c>
    </row>
    <row r="52" spans="3:24" x14ac:dyDescent="0.3">
      <c r="C52" s="5" t="s">
        <v>47</v>
      </c>
      <c r="E52" s="28" t="str">
        <f>IF(E39=0,"",(E42+E41)/(E39-E43))</f>
        <v/>
      </c>
      <c r="F52" s="28" t="str">
        <f t="shared" ref="F52:X52" si="9">IF(F39=0,"",(F42+F41)/(F39-F43))</f>
        <v/>
      </c>
      <c r="G52" s="28" t="str">
        <f t="shared" si="9"/>
        <v/>
      </c>
      <c r="H52" s="28" t="str">
        <f t="shared" si="9"/>
        <v/>
      </c>
      <c r="I52" s="28" t="str">
        <f t="shared" si="9"/>
        <v/>
      </c>
      <c r="J52" s="28" t="str">
        <f t="shared" si="9"/>
        <v/>
      </c>
      <c r="K52" s="28" t="str">
        <f t="shared" si="9"/>
        <v/>
      </c>
      <c r="L52" s="28" t="str">
        <f t="shared" si="9"/>
        <v/>
      </c>
      <c r="M52" s="28" t="str">
        <f t="shared" si="9"/>
        <v/>
      </c>
      <c r="N52" s="28" t="str">
        <f t="shared" si="9"/>
        <v/>
      </c>
      <c r="O52" s="28" t="str">
        <f t="shared" si="9"/>
        <v/>
      </c>
      <c r="P52" s="28" t="str">
        <f t="shared" si="9"/>
        <v/>
      </c>
      <c r="Q52" s="28" t="str">
        <f t="shared" si="9"/>
        <v/>
      </c>
      <c r="R52" s="28" t="str">
        <f t="shared" si="9"/>
        <v/>
      </c>
      <c r="S52" s="28" t="str">
        <f t="shared" si="9"/>
        <v/>
      </c>
      <c r="T52" s="28" t="str">
        <f t="shared" si="9"/>
        <v/>
      </c>
      <c r="U52" s="28" t="str">
        <f t="shared" si="9"/>
        <v/>
      </c>
      <c r="V52" s="28" t="str">
        <f t="shared" si="9"/>
        <v/>
      </c>
      <c r="W52" s="28" t="str">
        <f t="shared" si="9"/>
        <v/>
      </c>
      <c r="X52" s="28" t="str">
        <f t="shared" si="9"/>
        <v/>
      </c>
    </row>
    <row r="54" spans="3:24" x14ac:dyDescent="0.3">
      <c r="C54" t="s">
        <v>30</v>
      </c>
      <c r="D54" s="10">
        <f>COUNTIF(D4:D37,"App∴ ")</f>
        <v>3</v>
      </c>
    </row>
    <row r="55" spans="3:24" x14ac:dyDescent="0.3">
      <c r="C55" t="s">
        <v>31</v>
      </c>
      <c r="D55" s="10">
        <f>COUNTIF(D4:D37,"Comp∴ ")</f>
        <v>3</v>
      </c>
    </row>
    <row r="56" spans="3:24" x14ac:dyDescent="0.3">
      <c r="C56" t="s">
        <v>32</v>
      </c>
      <c r="D56" s="10">
        <f>COUNTIF(D5:D38,"M∴ ")</f>
        <v>22</v>
      </c>
    </row>
  </sheetData>
  <dataValidations disablePrompts="1" count="2">
    <dataValidation type="list" allowBlank="1" showInputMessage="1" showErrorMessage="1" sqref="D31:D39 D4:D28 E3:X3" xr:uid="{27E6E594-36D2-4618-BB14-6570B217DBBF}">
      <formula1>"App∴ ,Comp∴ ,M∴ "</formula1>
    </dataValidation>
    <dataValidation type="list" allowBlank="1" showInputMessage="1" showErrorMessage="1" sqref="E4:X37" xr:uid="{C3A49CC3-D1C4-4376-AB87-5CFA73D9856A}">
      <formula1>"P,E,A,Disp"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2022-2023</vt:lpstr>
      <vt:lpstr>2023-2024</vt:lpstr>
      <vt:lpstr>2024-2025</vt:lpstr>
      <vt:lpstr>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Auer</dc:creator>
  <cp:lastModifiedBy>Dominique GUERNE</cp:lastModifiedBy>
  <cp:lastPrinted>2023-05-07T12:40:45Z</cp:lastPrinted>
  <dcterms:created xsi:type="dcterms:W3CDTF">2022-04-03T16:13:09Z</dcterms:created>
  <dcterms:modified xsi:type="dcterms:W3CDTF">2025-07-01T09:24:22Z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2023-01-13T18:15:50Z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b72e87e5-9c20-44a7-9f25-19e56cd66e81</vt:lpwstr>
  </property>
  <property fmtid="{D5CDD505-2E9C-101B-9397-08002B2CF9AE}" pid="8" name="MSIP_Label_736915f3-2f02-4945-8997-f2963298db46_ContentBits">
    <vt:lpwstr>1</vt:lpwstr>
  </property>
</Properties>
</file>