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rancois/Nextcloud4/Documents/Socrate Administratif/Finance Tresorerie/"/>
    </mc:Choice>
  </mc:AlternateContent>
  <xr:revisionPtr revIDLastSave="0" documentId="13_ncr:1_{0B6C14C5-CDAF-B143-A97F-C188AA4E9DD8}" xr6:coauthVersionLast="47" xr6:coauthVersionMax="47" xr10:uidLastSave="{00000000-0000-0000-0000-000000000000}"/>
  <bookViews>
    <workbookView xWindow="0" yWindow="500" windowWidth="35840" windowHeight="21900" tabRatio="500" xr2:uid="{00000000-000D-0000-FFFF-FFFF00000000}"/>
  </bookViews>
  <sheets>
    <sheet name="Ne Pas transmettre  Tranches " sheetId="1" r:id="rId1"/>
    <sheet name="Budget  Previsionnel" sheetId="2" r:id="rId2"/>
    <sheet name="Outil de Calcul" sheetId="3" r:id="rId3"/>
    <sheet name="Tranche" sheetId="4" r:id="rId4"/>
    <sheet name="Feuil1" sheetId="5" r:id="rId5"/>
  </sheets>
  <definedNames>
    <definedName name="_xlnm.Print_Area" localSheetId="0">'Ne Pas transmettre  Tranches '!$A$1:$L$55</definedName>
    <definedName name="_xlnm.Print_Area" localSheetId="2">'Outil de Calcul'!$A$1:$J$22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1" l="1"/>
  <c r="B5" i="3" s="1"/>
  <c r="B15" i="3"/>
  <c r="D57" i="1"/>
  <c r="B10" i="3" s="1"/>
  <c r="E17" i="2"/>
  <c r="F17" i="2"/>
  <c r="G17" i="2"/>
  <c r="H17" i="2"/>
  <c r="I17" i="2"/>
  <c r="E20" i="2"/>
  <c r="F20" i="2"/>
  <c r="G20" i="2"/>
  <c r="H20" i="2"/>
  <c r="I20" i="2"/>
  <c r="C54" i="1"/>
  <c r="B7" i="3" s="1"/>
  <c r="C53" i="1"/>
  <c r="B6" i="3" s="1"/>
  <c r="C51" i="1"/>
  <c r="B4" i="3" s="1"/>
  <c r="C50" i="1"/>
  <c r="C20" i="2"/>
  <c r="D5" i="2" l="1"/>
  <c r="D19" i="5"/>
  <c r="D18" i="5"/>
  <c r="D14" i="5"/>
  <c r="D13" i="5"/>
  <c r="D11" i="5"/>
  <c r="D10" i="5"/>
  <c r="D9" i="5"/>
  <c r="B8" i="5"/>
  <c r="D8" i="5" s="1"/>
  <c r="D1" i="5" s="1"/>
  <c r="D7" i="5"/>
  <c r="D6" i="5"/>
  <c r="D5" i="5"/>
  <c r="D4" i="5"/>
  <c r="D3" i="5"/>
  <c r="I29" i="2"/>
  <c r="H29" i="2"/>
  <c r="G29" i="2"/>
  <c r="F29" i="2"/>
  <c r="E29" i="2"/>
  <c r="C29" i="2"/>
  <c r="B29" i="2"/>
  <c r="B26" i="2"/>
  <c r="I22" i="2"/>
  <c r="H22" i="2"/>
  <c r="G22" i="2"/>
  <c r="F22" i="2"/>
  <c r="E22" i="2"/>
  <c r="C22" i="2"/>
  <c r="B22" i="2"/>
  <c r="B20" i="2"/>
  <c r="D17" i="2"/>
  <c r="B17" i="2"/>
  <c r="B12" i="2"/>
  <c r="C11" i="2"/>
  <c r="C21" i="2" s="1"/>
  <c r="B11" i="2"/>
  <c r="B21" i="2" s="1"/>
  <c r="I6" i="2"/>
  <c r="H6" i="2"/>
  <c r="G6" i="2"/>
  <c r="F6" i="2"/>
  <c r="E6" i="2"/>
  <c r="C6" i="2"/>
  <c r="B6" i="2"/>
  <c r="B3" i="2"/>
  <c r="F21" i="2" l="1"/>
  <c r="F23" i="2" s="1"/>
  <c r="H21" i="2"/>
  <c r="H23" i="2" s="1"/>
  <c r="G21" i="2"/>
  <c r="G28" i="2" s="1"/>
  <c r="E21" i="2"/>
  <c r="E28" i="2" s="1"/>
  <c r="C28" i="2"/>
  <c r="C23" i="2"/>
  <c r="I21" i="2"/>
  <c r="B28" i="2"/>
  <c r="B23" i="2"/>
  <c r="B3" i="3"/>
  <c r="C55" i="1"/>
  <c r="D4" i="2" s="1"/>
  <c r="D29" i="2" l="1"/>
  <c r="D22" i="2"/>
  <c r="D6" i="2"/>
  <c r="D20" i="2" s="1"/>
  <c r="D21" i="2" s="1"/>
  <c r="D28" i="2" s="1"/>
  <c r="D30" i="2" s="1"/>
  <c r="F28" i="2"/>
  <c r="G23" i="2"/>
  <c r="E23" i="2"/>
  <c r="H28" i="2"/>
  <c r="H27" i="2" s="1"/>
  <c r="H32" i="2" s="1"/>
  <c r="G27" i="2"/>
  <c r="G32" i="2" s="1"/>
  <c r="G30" i="2"/>
  <c r="B30" i="2"/>
  <c r="B27" i="2"/>
  <c r="B32" i="2" s="1"/>
  <c r="I28" i="2"/>
  <c r="I23" i="2"/>
  <c r="C30" i="2"/>
  <c r="C27" i="2"/>
  <c r="C32" i="2" s="1"/>
  <c r="B8" i="3"/>
  <c r="E27" i="2"/>
  <c r="E32" i="2" s="1"/>
  <c r="E30" i="2"/>
  <c r="F27" i="2"/>
  <c r="F32" i="2" s="1"/>
  <c r="F30" i="2"/>
  <c r="D23" i="2" l="1"/>
  <c r="D14" i="3" s="1"/>
  <c r="D23" i="3" s="1"/>
  <c r="D27" i="2"/>
  <c r="D32" i="2" s="1"/>
  <c r="D35" i="2" s="1"/>
  <c r="D41" i="2" s="1"/>
  <c r="H30" i="2"/>
  <c r="E40" i="2"/>
  <c r="E35" i="2"/>
  <c r="E41" i="2" s="1"/>
  <c r="B35" i="2"/>
  <c r="B41" i="2" s="1"/>
  <c r="B40" i="2"/>
  <c r="C35" i="2"/>
  <c r="C41" i="2" s="1"/>
  <c r="C40" i="2"/>
  <c r="H40" i="2"/>
  <c r="H35" i="2"/>
  <c r="H41" i="2" s="1"/>
  <c r="I27" i="2"/>
  <c r="I32" i="2" s="1"/>
  <c r="I30" i="2"/>
  <c r="F40" i="2"/>
  <c r="F35" i="2"/>
  <c r="F41" i="2" s="1"/>
  <c r="G40" i="2"/>
  <c r="G35" i="2"/>
  <c r="G41" i="2" s="1"/>
  <c r="D40" i="2" l="1"/>
  <c r="D15" i="3"/>
  <c r="G15" i="3" s="1"/>
  <c r="D4" i="3" s="1"/>
  <c r="I3" i="1" s="1"/>
  <c r="I40" i="2"/>
  <c r="I35" i="2"/>
  <c r="I41" i="2" s="1"/>
  <c r="D7" i="3" l="1"/>
  <c r="I6" i="1" s="1"/>
  <c r="G17" i="3"/>
  <c r="D6" i="3"/>
  <c r="I5" i="1" s="1"/>
  <c r="E19" i="1" s="1"/>
  <c r="D5" i="3"/>
  <c r="I4" i="1" s="1"/>
  <c r="D3" i="3"/>
  <c r="I2" i="1" s="1"/>
  <c r="E18" i="1" s="1"/>
  <c r="E4" i="3"/>
  <c r="F4" i="3"/>
  <c r="K3" i="1" s="1"/>
  <c r="E16" i="1" s="1"/>
  <c r="E5" i="3" l="1"/>
  <c r="F7" i="3"/>
  <c r="K6" i="1" s="1"/>
  <c r="E6" i="1" s="1"/>
  <c r="E7" i="3"/>
  <c r="F5" i="3"/>
  <c r="K4" i="1" s="1"/>
  <c r="E14" i="1" s="1"/>
  <c r="F3" i="3"/>
  <c r="K2" i="1" s="1"/>
  <c r="E12" i="1" s="1"/>
  <c r="E3" i="3"/>
  <c r="E2" i="1"/>
  <c r="E6" i="3"/>
  <c r="F6" i="3"/>
  <c r="K5" i="1" s="1"/>
  <c r="E15" i="1" s="1"/>
  <c r="E27" i="1"/>
  <c r="E33" i="1"/>
  <c r="E30" i="1"/>
  <c r="E29" i="1"/>
  <c r="E3" i="1"/>
  <c r="E17" i="1"/>
  <c r="E32" i="1"/>
  <c r="G4" i="3"/>
  <c r="G7" i="3" l="1"/>
  <c r="G3" i="3"/>
  <c r="G5" i="3"/>
  <c r="E5" i="1"/>
  <c r="E25" i="1"/>
  <c r="E20" i="1"/>
  <c r="E8" i="3"/>
  <c r="E21" i="1"/>
  <c r="E13" i="1"/>
  <c r="E9" i="1"/>
  <c r="E26" i="1"/>
  <c r="E23" i="1"/>
  <c r="E11" i="1"/>
  <c r="E31" i="1"/>
  <c r="E8" i="1"/>
  <c r="G6" i="3"/>
  <c r="E10" i="1"/>
  <c r="E24" i="1"/>
  <c r="G8" i="3" l="1"/>
</calcChain>
</file>

<file path=xl/sharedStrings.xml><?xml version="1.0" encoding="utf-8"?>
<sst xmlns="http://schemas.openxmlformats.org/spreadsheetml/2006/main" count="198" uniqueCount="165">
  <si>
    <t>Nom</t>
  </si>
  <si>
    <t>Prenom</t>
  </si>
  <si>
    <t>Tranche</t>
  </si>
  <si>
    <t>AGNOUNA ONANA</t>
  </si>
  <si>
    <t>Alphonse</t>
  </si>
  <si>
    <t>AUER</t>
  </si>
  <si>
    <t>François Régis</t>
  </si>
  <si>
    <t>BUR</t>
  </si>
  <si>
    <t>Patrick</t>
  </si>
  <si>
    <t>A</t>
  </si>
  <si>
    <t>Butterlin</t>
  </si>
  <si>
    <t>Christophe</t>
  </si>
  <si>
    <t>Cadona</t>
  </si>
  <si>
    <t>Alain</t>
  </si>
  <si>
    <t>CHANSON</t>
  </si>
  <si>
    <t>Claire</t>
  </si>
  <si>
    <t>CORNELISE</t>
  </si>
  <si>
    <t>Dangoumau</t>
  </si>
  <si>
    <t>Tristan</t>
  </si>
  <si>
    <t>Dardenne</t>
  </si>
  <si>
    <t>Gilles</t>
  </si>
  <si>
    <t>DEL VECCHIO</t>
  </si>
  <si>
    <t>Jean Pierre</t>
  </si>
  <si>
    <t>DILLENSCHNEIDER</t>
  </si>
  <si>
    <t>Michel</t>
  </si>
  <si>
    <t>DUBOIS</t>
  </si>
  <si>
    <t>Jean-Luc</t>
  </si>
  <si>
    <t>Dupont</t>
  </si>
  <si>
    <t>Nicolas</t>
  </si>
  <si>
    <t>FAIVRE</t>
  </si>
  <si>
    <t>Guerné</t>
  </si>
  <si>
    <t>Dominique</t>
  </si>
  <si>
    <t>Ibba</t>
  </si>
  <si>
    <t>Jean marc</t>
  </si>
  <si>
    <t>Klein</t>
  </si>
  <si>
    <t>Thomas</t>
  </si>
  <si>
    <t>LEBOSSÉ</t>
  </si>
  <si>
    <t>Cédric</t>
  </si>
  <si>
    <t>luzerne</t>
  </si>
  <si>
    <t>Christian</t>
  </si>
  <si>
    <t>POIAREZ</t>
  </si>
  <si>
    <t>Jean Claude</t>
  </si>
  <si>
    <t>REYTER</t>
  </si>
  <si>
    <t>grégory</t>
  </si>
  <si>
    <t>ROCHE </t>
  </si>
  <si>
    <t>SUSSET</t>
  </si>
  <si>
    <t>Valérie</t>
  </si>
  <si>
    <t>Ariane</t>
  </si>
  <si>
    <t>Tranche 1</t>
  </si>
  <si>
    <t>Tranche 2</t>
  </si>
  <si>
    <t>Tranche 3</t>
  </si>
  <si>
    <t>Tranche 4</t>
  </si>
  <si>
    <t>Tranche 5</t>
  </si>
  <si>
    <t>Total</t>
  </si>
  <si>
    <t>Année civile</t>
  </si>
  <si>
    <t>Membres *</t>
  </si>
  <si>
    <t>Affiliés</t>
  </si>
  <si>
    <t>Effectif total</t>
  </si>
  <si>
    <t>TENUES</t>
  </si>
  <si>
    <t>Achats</t>
  </si>
  <si>
    <t>Locations Mousson  (100 X nb ten.)</t>
  </si>
  <si>
    <t>Assurances</t>
  </si>
  <si>
    <t>Frais Convent</t>
  </si>
  <si>
    <t>Solidarité/frais CAALA</t>
  </si>
  <si>
    <t>Affranchissements</t>
  </si>
  <si>
    <t>Abonnement numérique</t>
  </si>
  <si>
    <t>Frais gestion banque</t>
  </si>
  <si>
    <t>Dépenses exceptionnelles</t>
  </si>
  <si>
    <t>Banquet d'ordre</t>
  </si>
  <si>
    <t>TOTAL DEPENSES Socrate</t>
  </si>
  <si>
    <t>Capitations GO + CAALA</t>
  </si>
  <si>
    <t>TOTAL DEPENSES BUDGET</t>
  </si>
  <si>
    <t>Médaille Région</t>
  </si>
  <si>
    <t>Médailles Loges</t>
  </si>
  <si>
    <t>Cotisations Socrate</t>
  </si>
  <si>
    <t>TOTAL RECETTES Socrate</t>
  </si>
  <si>
    <t>TOTAL RECETTES BUDGET</t>
  </si>
  <si>
    <t>Cotisation Socrate ** ***</t>
  </si>
  <si>
    <t>Capitation GODF</t>
  </si>
  <si>
    <t>Capitation CAALA</t>
  </si>
  <si>
    <t>COTISATION MEMBRE</t>
  </si>
  <si>
    <t>* Capitations des premiers initiés de la Loge comptées en année pleine</t>
  </si>
  <si>
    <t>** dont participation 20€ à 1 banquet d'ordre à partir de 2023 (membres et affiliés)</t>
  </si>
  <si>
    <t>*** montant de la cotisation des affiliés</t>
  </si>
  <si>
    <t>Pour info, cotisations hors BO :</t>
  </si>
  <si>
    <t>NOTA : pour chaque initiation compter l'achat des gants et tabliers + droits d'enregistrement GO à facturer aux néophytes.</t>
  </si>
  <si>
    <t>Nb de FF et SS</t>
  </si>
  <si>
    <t xml:space="preserve">% </t>
  </si>
  <si>
    <t>Montant tranche Affiliés</t>
  </si>
  <si>
    <t>Montant Total</t>
  </si>
  <si>
    <t>Cotisation Globale</t>
  </si>
  <si>
    <t>Nb Affiliés</t>
  </si>
  <si>
    <t>Budget Total</t>
  </si>
  <si>
    <t>Montant median Quote Part Socrate</t>
  </si>
  <si>
    <t>Capitation + Region</t>
  </si>
  <si>
    <t>budget hors capitation</t>
  </si>
  <si>
    <t>X</t>
  </si>
  <si>
    <t xml:space="preserve">(2023 = 171,70 + 4 ) </t>
  </si>
  <si>
    <t xml:space="preserve">(voir onglet budget) </t>
  </si>
  <si>
    <t>Montant Moyen</t>
  </si>
  <si>
    <t xml:space="preserve">Fraction revenu imposable ( pour une part) </t>
  </si>
  <si>
    <t>Taux d'imposition</t>
  </si>
  <si>
    <t>Tranche cotisation</t>
  </si>
  <si>
    <t>Jusque 10225 €</t>
  </si>
  <si>
    <t>&lt; -5%</t>
  </si>
  <si>
    <t>de 10226 à 26070 €</t>
  </si>
  <si>
    <t>de 5 à 10%</t>
  </si>
  <si>
    <t>de 26 071 à 74 545 €</t>
  </si>
  <si>
    <t>de 10 à 15%</t>
  </si>
  <si>
    <t>de 74546 à 160 336 €</t>
  </si>
  <si>
    <t>de 15 à 20%</t>
  </si>
  <si>
    <t>Supérieur à 160 336 €</t>
  </si>
  <si>
    <t>&gt; 20%</t>
  </si>
  <si>
    <t xml:space="preserve">simulateur : </t>
  </si>
  <si>
    <t>https://simulateur-ir-ifi.impots.gouv.fr/calcul_impot/2023/simplifie/index.htm</t>
  </si>
  <si>
    <t>Budget 2024</t>
  </si>
  <si>
    <t>Dépenses prévisionnelles</t>
  </si>
  <si>
    <t>Cout unitaire</t>
  </si>
  <si>
    <t>quantité</t>
  </si>
  <si>
    <t>Location</t>
  </si>
  <si>
    <t>nettoyage</t>
  </si>
  <si>
    <t>initiation taxes</t>
  </si>
  <si>
    <t>Capit</t>
  </si>
  <si>
    <t>Region cotis</t>
  </si>
  <si>
    <t>Nb membres</t>
  </si>
  <si>
    <t>Affiliation</t>
  </si>
  <si>
    <t>Appartenance</t>
  </si>
  <si>
    <t xml:space="preserve">Affillié </t>
  </si>
  <si>
    <t>TRUFFERT</t>
  </si>
  <si>
    <t>MAITREPIERRE</t>
  </si>
  <si>
    <t>Anne-Sophie</t>
  </si>
  <si>
    <t>TRIEUX</t>
  </si>
  <si>
    <t>jean-Baptiste</t>
  </si>
  <si>
    <t>POLLO</t>
  </si>
  <si>
    <t xml:space="preserve">Montant demandé </t>
  </si>
  <si>
    <t>nb</t>
  </si>
  <si>
    <t>Colonne1</t>
  </si>
  <si>
    <t>Colonne2</t>
  </si>
  <si>
    <t>LEROY</t>
  </si>
  <si>
    <t>MANGENOT</t>
  </si>
  <si>
    <t>Christine</t>
  </si>
  <si>
    <t>Gerard</t>
  </si>
  <si>
    <t>SEYLER</t>
  </si>
  <si>
    <t>Muriel</t>
  </si>
  <si>
    <t>Synthia</t>
  </si>
  <si>
    <t>Taxes et augementation grade et decors</t>
  </si>
  <si>
    <t>Colonne3</t>
  </si>
  <si>
    <t xml:space="preserve">ici on saisit la tranche et si on est affilié ou pas avec un A </t>
  </si>
  <si>
    <t>colonne C et D uniquement</t>
  </si>
  <si>
    <t xml:space="preserve">ici c'est le budget prévisionnel </t>
  </si>
  <si>
    <t>on saisit juste en cellule D4 et D5  les nombres d'appartenances et d'affiliés</t>
  </si>
  <si>
    <t>en ensuite de la lignes 10 à 20</t>
  </si>
  <si>
    <t>eventuellement lignes 25 et 26</t>
  </si>
  <si>
    <t>on met à jour la capitation dans les lignes 33 et 34</t>
  </si>
  <si>
    <t>Nb affiliés</t>
  </si>
  <si>
    <t xml:space="preserve">c'est une reference </t>
  </si>
  <si>
    <t>ici on voit que le total dépasse un peu du budget hors capitation</t>
  </si>
  <si>
    <t>montant à demander aux appartenances</t>
  </si>
  <si>
    <t>montant à demander aux affiliations</t>
  </si>
  <si>
    <t xml:space="preserve"> &lt;----</t>
  </si>
  <si>
    <t>cotisation non diférenciée, ne pas transmettre , c'est juste pour avoir une idée</t>
  </si>
  <si>
    <t>Kaizer</t>
  </si>
  <si>
    <t>&lt;-----</t>
  </si>
  <si>
    <t>cotisation afiiliés non diférenciée, ne pas transmettre , c'est juste pour avoir une idée</t>
  </si>
  <si>
    <t xml:space="preserve">(2025 = 180,5 + 4)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</si>
</sst>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€-40C]_-;\-* #,##0\ [$€-40C]_-;_-* \-??\ [$€-40C]_-;_-@_-"/>
    <numFmt numFmtId="165" formatCode="0\ %"/>
    <numFmt numFmtId="166" formatCode="_-* #,##0.00\ [$€-40C]_-;\-* #,##0.00\ [$€-40C]_-;_-* \-??\ [$€-40C]_-;_-@_-"/>
    <numFmt numFmtId="167" formatCode="_ * #,##0.00_)&quot; €&quot;_ ;_ * \(#,##0.00&quot;) €&quot;_ ;_ * \-??_)&quot; €&quot;_ ;_ @_ "/>
    <numFmt numFmtId="168" formatCode="_ * #,##0.00_)\ _€_ ;_ * \(#,##0.00&quot;) &quot;_€_ ;_ * \-??_)\ _€_ ;_ @_ "/>
    <numFmt numFmtId="169" formatCode="_-* #,##0.00\ [$€-40C]_-;\-* #,##0.00\ [$€-40C]_-;_-* &quot;-&quot;??\ [$€-40C]_-;_-@_-"/>
  </numFmts>
  <fonts count="21" x14ac:knownFonts="1">
    <font>
      <sz val="11"/>
      <color theme="1"/>
      <name val="Calibri"/>
      <family val="2"/>
      <charset val="1"/>
    </font>
    <font>
      <b/>
      <sz val="12"/>
      <color rgb="FFFF0000"/>
      <name val="Verdana"/>
      <family val="2"/>
      <charset val="1"/>
    </font>
    <font>
      <sz val="12"/>
      <color theme="1"/>
      <name val="Verdana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i/>
      <sz val="12"/>
      <name val="Verdana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i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79857783745845"/>
        <bgColor rgb="FFFFF2CC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6" tint="0.79979857783745845"/>
        <bgColor rgb="FFE2F0D9"/>
      </patternFill>
    </fill>
    <fill>
      <patternFill patternType="solid">
        <fgColor theme="9" tint="0.59978026673177287"/>
        <bgColor rgb="FFE2F0D9"/>
      </patternFill>
    </fill>
    <fill>
      <patternFill patternType="solid">
        <fgColor theme="0"/>
        <bgColor rgb="FFEDEDED"/>
      </patternFill>
    </fill>
    <fill>
      <patternFill patternType="solid">
        <fgColor theme="9" tint="0.79979857783745845"/>
        <bgColor rgb="FFEDEDED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5" tint="0.39979247413556324"/>
        <bgColor rgb="FFF1C232"/>
      </patternFill>
    </fill>
    <fill>
      <patternFill patternType="solid">
        <fgColor rgb="FFFEE599"/>
        <bgColor rgb="FFFFF2CC"/>
      </patternFill>
    </fill>
    <fill>
      <patternFill patternType="solid">
        <fgColor rgb="FFF1C232"/>
        <bgColor rgb="FFF4B183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167" fontId="17" fillId="0" borderId="0" applyBorder="0" applyProtection="0"/>
    <xf numFmtId="0" fontId="16" fillId="0" borderId="0" applyBorder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/>
    <xf numFmtId="0" fontId="0" fillId="0" borderId="7" xfId="0" applyBorder="1"/>
    <xf numFmtId="0" fontId="3" fillId="3" borderId="10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1" xfId="0" applyFill="1" applyBorder="1"/>
    <xf numFmtId="0" fontId="4" fillId="4" borderId="10" xfId="0" applyFont="1" applyFill="1" applyBorder="1"/>
    <xf numFmtId="0" fontId="5" fillId="4" borderId="12" xfId="0" applyFont="1" applyFill="1" applyBorder="1"/>
    <xf numFmtId="0" fontId="5" fillId="4" borderId="2" xfId="0" applyFont="1" applyFill="1" applyBorder="1"/>
    <xf numFmtId="0" fontId="5" fillId="4" borderId="11" xfId="0" applyFont="1" applyFill="1" applyBorder="1"/>
    <xf numFmtId="0" fontId="3" fillId="5" borderId="10" xfId="0" applyFont="1" applyFill="1" applyBorder="1"/>
    <xf numFmtId="4" fontId="3" fillId="5" borderId="12" xfId="0" applyNumberFormat="1" applyFont="1" applyFill="1" applyBorder="1"/>
    <xf numFmtId="4" fontId="3" fillId="5" borderId="19" xfId="0" applyNumberFormat="1" applyFont="1" applyFill="1" applyBorder="1"/>
    <xf numFmtId="0" fontId="6" fillId="6" borderId="10" xfId="0" applyFont="1" applyFill="1" applyBorder="1" applyAlignment="1">
      <alignment horizontal="center"/>
    </xf>
    <xf numFmtId="4" fontId="6" fillId="6" borderId="12" xfId="0" applyNumberFormat="1" applyFont="1" applyFill="1" applyBorder="1"/>
    <xf numFmtId="4" fontId="6" fillId="6" borderId="19" xfId="0" applyNumberFormat="1" applyFont="1" applyFill="1" applyBorder="1"/>
    <xf numFmtId="0" fontId="0" fillId="7" borderId="10" xfId="0" applyFill="1" applyBorder="1"/>
    <xf numFmtId="4" fontId="0" fillId="7" borderId="12" xfId="0" applyNumberFormat="1" applyFill="1" applyBorder="1"/>
    <xf numFmtId="4" fontId="0" fillId="7" borderId="19" xfId="0" applyNumberFormat="1" applyFill="1" applyBorder="1"/>
    <xf numFmtId="4" fontId="0" fillId="0" borderId="0" xfId="0" applyNumberFormat="1"/>
    <xf numFmtId="4" fontId="0" fillId="0" borderId="8" xfId="0" applyNumberFormat="1" applyBorder="1"/>
    <xf numFmtId="4" fontId="0" fillId="0" borderId="9" xfId="0" applyNumberFormat="1" applyBorder="1"/>
    <xf numFmtId="4" fontId="0" fillId="0" borderId="20" xfId="0" applyNumberFormat="1" applyBorder="1"/>
    <xf numFmtId="4" fontId="3" fillId="5" borderId="2" xfId="0" applyNumberFormat="1" applyFont="1" applyFill="1" applyBorder="1"/>
    <xf numFmtId="4" fontId="3" fillId="5" borderId="11" xfId="0" applyNumberFormat="1" applyFont="1" applyFill="1" applyBorder="1"/>
    <xf numFmtId="0" fontId="3" fillId="8" borderId="21" xfId="0" applyFont="1" applyFill="1" applyBorder="1"/>
    <xf numFmtId="4" fontId="3" fillId="8" borderId="22" xfId="0" applyNumberFormat="1" applyFont="1" applyFill="1" applyBorder="1"/>
    <xf numFmtId="4" fontId="3" fillId="8" borderId="23" xfId="0" applyNumberFormat="1" applyFont="1" applyFill="1" applyBorder="1"/>
    <xf numFmtId="4" fontId="3" fillId="8" borderId="24" xfId="0" applyNumberFormat="1" applyFont="1" applyFill="1" applyBorder="1"/>
    <xf numFmtId="0" fontId="3" fillId="9" borderId="10" xfId="0" applyFont="1" applyFill="1" applyBorder="1"/>
    <xf numFmtId="4" fontId="3" fillId="9" borderId="12" xfId="0" applyNumberFormat="1" applyFont="1" applyFill="1" applyBorder="1"/>
    <xf numFmtId="4" fontId="3" fillId="9" borderId="2" xfId="0" applyNumberFormat="1" applyFont="1" applyFill="1" applyBorder="1"/>
    <xf numFmtId="4" fontId="3" fillId="9" borderId="11" xfId="0" applyNumberFormat="1" applyFont="1" applyFill="1" applyBorder="1"/>
    <xf numFmtId="0" fontId="7" fillId="0" borderId="0" xfId="0" applyFont="1"/>
    <xf numFmtId="4" fontId="3" fillId="8" borderId="25" xfId="0" applyNumberFormat="1" applyFont="1" applyFill="1" applyBorder="1"/>
    <xf numFmtId="4" fontId="3" fillId="9" borderId="1" xfId="0" applyNumberFormat="1" applyFont="1" applyFill="1" applyBorder="1"/>
    <xf numFmtId="164" fontId="0" fillId="0" borderId="0" xfId="0" applyNumberFormat="1"/>
    <xf numFmtId="0" fontId="8" fillId="0" borderId="26" xfId="0" applyFont="1" applyBorder="1"/>
    <xf numFmtId="0" fontId="8" fillId="0" borderId="27" xfId="0" applyFont="1" applyBorder="1"/>
    <xf numFmtId="164" fontId="8" fillId="10" borderId="27" xfId="0" applyNumberFormat="1" applyFont="1" applyFill="1" applyBorder="1"/>
    <xf numFmtId="164" fontId="8" fillId="0" borderId="27" xfId="0" applyNumberFormat="1" applyFont="1" applyBorder="1"/>
    <xf numFmtId="0" fontId="8" fillId="11" borderId="27" xfId="0" applyFont="1" applyFill="1" applyBorder="1"/>
    <xf numFmtId="0" fontId="8" fillId="0" borderId="28" xfId="0" applyFont="1" applyBorder="1"/>
    <xf numFmtId="0" fontId="9" fillId="0" borderId="0" xfId="0" applyFont="1"/>
    <xf numFmtId="165" fontId="0" fillId="0" borderId="0" xfId="0" applyNumberFormat="1"/>
    <xf numFmtId="166" fontId="3" fillId="10" borderId="0" xfId="0" applyNumberFormat="1" applyFont="1" applyFill="1"/>
    <xf numFmtId="164" fontId="6" fillId="0" borderId="0" xfId="0" applyNumberFormat="1" applyFont="1"/>
    <xf numFmtId="166" fontId="3" fillId="11" borderId="0" xfId="0" applyNumberFormat="1" applyFont="1" applyFill="1"/>
    <xf numFmtId="166" fontId="0" fillId="0" borderId="0" xfId="0" applyNumberFormat="1"/>
    <xf numFmtId="164" fontId="9" fillId="0" borderId="0" xfId="0" applyNumberFormat="1" applyFont="1"/>
    <xf numFmtId="164" fontId="10" fillId="0" borderId="0" xfId="0" applyNumberFormat="1" applyFont="1"/>
    <xf numFmtId="0" fontId="11" fillId="0" borderId="26" xfId="0" applyFont="1" applyBorder="1"/>
    <xf numFmtId="0" fontId="11" fillId="0" borderId="28" xfId="0" applyFont="1" applyBorder="1"/>
    <xf numFmtId="0" fontId="8" fillId="0" borderId="0" xfId="0" applyFont="1"/>
    <xf numFmtId="167" fontId="12" fillId="0" borderId="0" xfId="1" applyFont="1" applyBorder="1" applyProtection="1"/>
    <xf numFmtId="167" fontId="17" fillId="0" borderId="0" xfId="1" applyBorder="1" applyProtection="1"/>
    <xf numFmtId="167" fontId="9" fillId="0" borderId="0" xfId="1" applyFont="1" applyBorder="1" applyProtection="1"/>
    <xf numFmtId="167" fontId="1" fillId="0" borderId="0" xfId="1" applyFont="1" applyBorder="1" applyProtection="1"/>
    <xf numFmtId="0" fontId="13" fillId="0" borderId="0" xfId="0" applyFont="1"/>
    <xf numFmtId="168" fontId="0" fillId="0" borderId="0" xfId="0" applyNumberFormat="1"/>
    <xf numFmtId="0" fontId="14" fillId="0" borderId="0" xfId="0" applyFont="1"/>
    <xf numFmtId="0" fontId="15" fillId="0" borderId="0" xfId="0" applyFont="1"/>
    <xf numFmtId="0" fontId="16" fillId="0" borderId="0" xfId="2" applyBorder="1" applyProtection="1"/>
    <xf numFmtId="49" fontId="0" fillId="0" borderId="0" xfId="0" applyNumberFormat="1"/>
    <xf numFmtId="169" fontId="0" fillId="0" borderId="0" xfId="0" applyNumberFormat="1"/>
    <xf numFmtId="0" fontId="2" fillId="12" borderId="0" xfId="0" applyFont="1" applyFill="1"/>
    <xf numFmtId="169" fontId="0" fillId="12" borderId="0" xfId="0" applyNumberFormat="1" applyFill="1"/>
    <xf numFmtId="0" fontId="9" fillId="12" borderId="0" xfId="0" applyFont="1" applyFill="1"/>
    <xf numFmtId="169" fontId="5" fillId="12" borderId="0" xfId="0" applyNumberFormat="1" applyFont="1" applyFill="1"/>
    <xf numFmtId="0" fontId="18" fillId="0" borderId="0" xfId="0" applyFont="1"/>
    <xf numFmtId="0" fontId="19" fillId="0" borderId="0" xfId="0" applyFont="1"/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4" fontId="0" fillId="0" borderId="4" xfId="0" applyNumberFormat="1" applyBorder="1" applyProtection="1">
      <protection locked="0"/>
    </xf>
    <xf numFmtId="4" fontId="0" fillId="0" borderId="5" xfId="0" applyNumberFormat="1" applyBorder="1" applyProtection="1">
      <protection locked="0"/>
    </xf>
    <xf numFmtId="0" fontId="0" fillId="0" borderId="13" xfId="0" applyBorder="1" applyProtection="1">
      <protection locked="0"/>
    </xf>
    <xf numFmtId="4" fontId="0" fillId="0" borderId="14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0" fontId="0" fillId="0" borderId="17" xfId="0" applyBorder="1" applyProtection="1">
      <protection locked="0"/>
    </xf>
    <xf numFmtId="4" fontId="0" fillId="0" borderId="18" xfId="0" applyNumberFormat="1" applyBorder="1" applyProtection="1">
      <protection locked="0"/>
    </xf>
    <xf numFmtId="4" fontId="0" fillId="0" borderId="6" xfId="0" applyNumberFormat="1" applyBorder="1" applyProtection="1">
      <protection locked="0"/>
    </xf>
    <xf numFmtId="4" fontId="0" fillId="0" borderId="16" xfId="0" applyNumberFormat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5" fillId="12" borderId="0" xfId="0" applyFont="1" applyFill="1" applyProtection="1">
      <protection locked="0"/>
    </xf>
    <xf numFmtId="0" fontId="0" fillId="12" borderId="0" xfId="0" applyFill="1" applyProtection="1">
      <protection locked="0"/>
    </xf>
    <xf numFmtId="49" fontId="0" fillId="12" borderId="0" xfId="0" applyNumberFormat="1" applyFill="1" applyProtection="1">
      <protection locked="0"/>
    </xf>
    <xf numFmtId="0" fontId="20" fillId="12" borderId="0" xfId="0" applyFont="1" applyFill="1"/>
  </cellXfs>
  <cellStyles count="3">
    <cellStyle name="Lien hypertexte" xfId="2" builtinId="8"/>
    <cellStyle name="Monétaire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charset val="1"/>
        <scheme val="none"/>
      </font>
    </dxf>
    <dxf>
      <numFmt numFmtId="169" formatCode="_-* #,##0.00\ [$€-40C]_-;\-* #,##0.00\ [$€-40C]_-;_-* &quot;-&quot;??\ [$€-40C]_-;_-@_-"/>
    </dxf>
    <dxf>
      <numFmt numFmtId="169" formatCode="_-* #,##0.00\ [$€-40C]_-;\-* #,##0.00\ [$€-40C]_-;_-* &quot;-&quot;??\ [$€-40C]_-;_-@_-"/>
    </dxf>
    <dxf>
      <numFmt numFmtId="169" formatCode="_-* #,##0.00\ [$€-40C]_-;\-* #,##0.00\ [$€-40C]_-;_-* &quot;-&quot;??\ [$€-40C]_-;_-@_-"/>
    </dxf>
    <dxf>
      <numFmt numFmtId="169" formatCode="_-* #,##0.00\ [$€-40C]_-;\-* #,##0.00\ [$€-40C]_-;_-* &quot;-&quot;??\ [$€-40C]_-;_-@_-"/>
    </dxf>
    <dxf>
      <numFmt numFmtId="30" formatCode="@"/>
      <protection locked="0" hidden="0"/>
    </dxf>
    <dxf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Verdana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4B183"/>
      <rgbColor rgb="FFCC99FF"/>
      <rgbColor rgb="FFFEE5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A7CB66-C9D7-0E4A-B9C3-DA9BC804C0B9}" name="Tableau3" displayName="Tableau3" ref="A1:E46" totalsRowShown="0" headerRowDxfId="9">
  <autoFilter ref="A1:E46" xr:uid="{30A7CB66-C9D7-0E4A-B9C3-DA9BC804C0B9}"/>
  <sortState xmlns:xlrd2="http://schemas.microsoft.com/office/spreadsheetml/2017/richdata2" ref="A2:E46">
    <sortCondition ref="A1:A46"/>
  </sortState>
  <tableColumns count="5">
    <tableColumn id="1" xr3:uid="{A39BD429-1249-9146-8F78-368B26783E5E}" name="Nom" dataDxfId="8"/>
    <tableColumn id="2" xr3:uid="{BC77FE04-4405-3748-AF48-89B11913915E}" name="Prenom" dataDxfId="7"/>
    <tableColumn id="3" xr3:uid="{860F708B-CA46-814C-9BC1-752B1D635298}" name="Tranche" dataDxfId="6"/>
    <tableColumn id="4" xr3:uid="{01FD835D-59EF-D041-8BA2-5D4B5CD51B18}" name="Affillié " dataDxfId="5"/>
    <tableColumn id="5" xr3:uid="{E9FA1811-6D5C-4E48-8591-04397B4401AE}" name="Montant demandé 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DDB831-98B7-094D-AFA6-A60D4EE75CF0}" name="Tableau4" displayName="Tableau4" ref="F1:K6" totalsRowShown="0">
  <autoFilter ref="F1:K6" xr:uid="{8DDDB831-98B7-094D-AFA6-A60D4EE75CF0}"/>
  <tableColumns count="6">
    <tableColumn id="1" xr3:uid="{6C3433A7-68B2-3A4C-A962-DB81D89DE22A}" name="Tranche"/>
    <tableColumn id="2" xr3:uid="{DFD94A27-BB7D-9C4E-B1B0-5E9035BE6DCF}" name="nb"/>
    <tableColumn id="3" xr3:uid="{BA7FFE83-BDB9-DE4F-AFDB-BB93E9265CE6}" name="Colonne1"/>
    <tableColumn id="4" xr3:uid="{7C05B5D8-107C-3446-9491-595D7B92274B}" name="Affiliation" dataDxfId="3">
      <calculatedColumnFormula>'Outil de Calcul'!D3</calculatedColumnFormula>
    </tableColumn>
    <tableColumn id="5" xr3:uid="{5CF724F4-9770-4643-978B-1E50676944D4}" name="Colonne2" dataDxfId="2"/>
    <tableColumn id="6" xr3:uid="{6B5EAF47-AD59-0F43-B193-FAE0E50C658D}" name="Appartenance" dataDxfId="1">
      <calculatedColumnFormula>'Outil de Calcul'!F3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712BE6-F9CF-40C5-A4DF-1DF67F678D80}" name="Tableau5" displayName="Tableau5" ref="A49:C54" totalsRowShown="0">
  <autoFilter ref="A49:C54" xr:uid="{CC712BE6-F9CF-40C5-A4DF-1DF67F678D80}"/>
  <tableColumns count="3">
    <tableColumn id="1" xr3:uid="{A8EB75C8-47E5-4F4E-A58D-59F2E966ABA3}" name="Colonne1" dataDxfId="0"/>
    <tableColumn id="2" xr3:uid="{76560862-95A9-494E-958E-87A958BDF249}" name="Colonne2"/>
    <tableColumn id="3" xr3:uid="{F49B529F-B9A9-4824-8F62-C49F98EACFC1}" name="Colonne3">
      <calculatedColumnFormula>COUNTIF(C$2:C$46,B50)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2" displayName="Tableau12" ref="A2:G8" totalsRowShown="0">
  <autoFilter ref="A2:G8" xr:uid="{00000000-0009-0000-0100-000001000000}"/>
  <tableColumns count="7">
    <tableColumn id="1" xr3:uid="{00000000-0010-0000-0000-000001000000}" name="Tranche"/>
    <tableColumn id="2" xr3:uid="{00000000-0010-0000-0000-000002000000}" name="Nb de FF et SS"/>
    <tableColumn id="3" xr3:uid="{00000000-0010-0000-0000-000003000000}" name="% "/>
    <tableColumn id="4" xr3:uid="{00000000-0010-0000-0000-000004000000}" name="Montant tranche Affiliés"/>
    <tableColumn id="5" xr3:uid="{00000000-0010-0000-0000-000005000000}" name="Montant Total"/>
    <tableColumn id="6" xr3:uid="{00000000-0010-0000-0000-000006000000}" name="Cotisation Globale"/>
    <tableColumn id="7" xr3:uid="{00000000-0010-0000-0000-000007000000}" name="Total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4:C9" totalsRowShown="0">
  <autoFilter ref="A4:C9" xr:uid="{00000000-0009-0000-0100-000002000000}"/>
  <tableColumns count="3">
    <tableColumn id="1" xr3:uid="{00000000-0010-0000-0100-000001000000}" name="Fraction revenu imposable ( pour une part) "/>
    <tableColumn id="2" xr3:uid="{00000000-0010-0000-0100-000002000000}" name="Taux d'imposition"/>
    <tableColumn id="3" xr3:uid="{00000000-0010-0000-0100-000003000000}" name="Tranche cotis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simulateur-ir-ifi.impots.gouv.fr/calcul_impot/2023/simplifie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tabSelected="1" topLeftCell="A22" zoomScale="130" zoomScaleNormal="130" workbookViewId="0">
      <selection activeCell="F42" sqref="F42"/>
    </sheetView>
  </sheetViews>
  <sheetFormatPr baseColWidth="10" defaultColWidth="11.5" defaultRowHeight="15" x14ac:dyDescent="0.2"/>
  <cols>
    <col min="1" max="1" width="24.5" customWidth="1"/>
    <col min="2" max="2" width="19.6640625" customWidth="1"/>
    <col min="3" max="3" width="12.6640625" customWidth="1"/>
    <col min="4" max="4" width="11.33203125" style="68" customWidth="1"/>
    <col min="5" max="5" width="24.33203125" customWidth="1"/>
    <col min="7" max="8" width="0" hidden="1" customWidth="1"/>
    <col min="10" max="10" width="0" hidden="1" customWidth="1"/>
    <col min="11" max="11" width="14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127</v>
      </c>
      <c r="E1" s="1" t="s">
        <v>134</v>
      </c>
      <c r="F1" t="s">
        <v>2</v>
      </c>
      <c r="G1" t="s">
        <v>135</v>
      </c>
      <c r="H1" t="s">
        <v>136</v>
      </c>
      <c r="I1" t="s">
        <v>125</v>
      </c>
      <c r="J1" t="s">
        <v>137</v>
      </c>
      <c r="K1" t="s">
        <v>126</v>
      </c>
    </row>
    <row r="2" spans="1:11" ht="16" x14ac:dyDescent="0.2">
      <c r="A2" s="2" t="s">
        <v>3</v>
      </c>
      <c r="B2" s="2" t="s">
        <v>4</v>
      </c>
      <c r="C2" s="92">
        <v>1</v>
      </c>
      <c r="D2" s="93" t="s">
        <v>9</v>
      </c>
      <c r="E2" s="69">
        <f>IF(D2="A",INDEX(I$2:I$6,MATCH(C2,F$2:F$6,0)),INDEX(K$2:K$6,MATCH(C2,F$2:F$6,0)))</f>
        <v>71</v>
      </c>
      <c r="F2">
        <v>1</v>
      </c>
      <c r="G2">
        <v>1</v>
      </c>
      <c r="H2">
        <v>-0.6</v>
      </c>
      <c r="I2" s="69">
        <f>'Outil de Calcul'!D3</f>
        <v>71</v>
      </c>
      <c r="J2" s="69">
        <v>68</v>
      </c>
      <c r="K2" s="69">
        <f>'Outil de Calcul'!F3</f>
        <v>255.5</v>
      </c>
    </row>
    <row r="3" spans="1:11" ht="16" x14ac:dyDescent="0.2">
      <c r="A3" s="2" t="s">
        <v>5</v>
      </c>
      <c r="B3" s="2" t="s">
        <v>6</v>
      </c>
      <c r="C3" s="92">
        <v>2</v>
      </c>
      <c r="D3" s="93"/>
      <c r="E3" s="69">
        <f>IF(D3="A",INDEX(I$2:I$6,MATCH(C3,F$2:F$6,0)),INDEX(K$2:K$6,MATCH(C3,F$2:F$6,0)))</f>
        <v>307.5</v>
      </c>
      <c r="F3">
        <v>2</v>
      </c>
      <c r="G3">
        <v>4</v>
      </c>
      <c r="H3">
        <v>-0.3</v>
      </c>
      <c r="I3" s="69">
        <f>'Outil de Calcul'!D4</f>
        <v>123</v>
      </c>
      <c r="J3" s="69">
        <v>476</v>
      </c>
      <c r="K3" s="69">
        <f>'Outil de Calcul'!F4</f>
        <v>307.5</v>
      </c>
    </row>
    <row r="4" spans="1:11" ht="16" x14ac:dyDescent="0.2">
      <c r="A4" s="72" t="s">
        <v>7</v>
      </c>
      <c r="B4" s="72" t="s">
        <v>8</v>
      </c>
      <c r="C4" s="94"/>
      <c r="D4" s="96"/>
      <c r="E4" s="73"/>
      <c r="F4">
        <v>3</v>
      </c>
      <c r="G4">
        <v>15</v>
      </c>
      <c r="H4">
        <v>0</v>
      </c>
      <c r="I4" s="69">
        <f>'Outil de Calcul'!D5</f>
        <v>176</v>
      </c>
      <c r="J4" s="69">
        <v>2550</v>
      </c>
      <c r="K4" s="69">
        <f>'Outil de Calcul'!F5</f>
        <v>360.5</v>
      </c>
    </row>
    <row r="5" spans="1:11" ht="16" x14ac:dyDescent="0.2">
      <c r="A5" s="2" t="s">
        <v>10</v>
      </c>
      <c r="B5" s="2" t="s">
        <v>11</v>
      </c>
      <c r="C5" s="92">
        <v>3</v>
      </c>
      <c r="D5" s="93"/>
      <c r="E5" s="69">
        <f>IF(D5="A",INDEX(I$2:I$6,MATCH(C5,F$2:F$6,0)),INDEX(K$2:K$6,MATCH(C5,F$2:F$6,0)))</f>
        <v>360.5</v>
      </c>
      <c r="F5">
        <v>4</v>
      </c>
      <c r="G5">
        <v>4</v>
      </c>
      <c r="H5">
        <v>0.3</v>
      </c>
      <c r="I5" s="69">
        <f>'Outil de Calcul'!D6</f>
        <v>228</v>
      </c>
      <c r="J5" s="69">
        <v>884</v>
      </c>
      <c r="K5" s="69">
        <f>'Outil de Calcul'!F6</f>
        <v>412.5</v>
      </c>
    </row>
    <row r="6" spans="1:11" ht="16" x14ac:dyDescent="0.2">
      <c r="A6" s="2" t="s">
        <v>12</v>
      </c>
      <c r="B6" s="2" t="s">
        <v>13</v>
      </c>
      <c r="C6" s="92">
        <v>5</v>
      </c>
      <c r="D6" s="93"/>
      <c r="E6" s="69">
        <f>IF(D6="A",INDEX(I$2:I$6,MATCH(C6,F$2:F$6,0)),INDEX(K$2:K$6,MATCH(C6,F$2:F$6,0)))</f>
        <v>465.5</v>
      </c>
      <c r="F6">
        <v>5</v>
      </c>
      <c r="G6">
        <v>1</v>
      </c>
      <c r="H6">
        <v>0.6</v>
      </c>
      <c r="I6" s="69">
        <f>'Outil de Calcul'!D7</f>
        <v>281</v>
      </c>
      <c r="J6" s="69">
        <v>272</v>
      </c>
      <c r="K6" s="69">
        <f>'Outil de Calcul'!F7</f>
        <v>465.5</v>
      </c>
    </row>
    <row r="7" spans="1:11" ht="16" x14ac:dyDescent="0.2">
      <c r="A7" s="70" t="s">
        <v>14</v>
      </c>
      <c r="B7" s="70" t="s">
        <v>15</v>
      </c>
      <c r="C7" s="95"/>
      <c r="D7" s="96"/>
      <c r="E7" s="71"/>
    </row>
    <row r="8" spans="1:11" ht="16" x14ac:dyDescent="0.2">
      <c r="A8" s="2" t="s">
        <v>16</v>
      </c>
      <c r="B8" s="2" t="s">
        <v>15</v>
      </c>
      <c r="C8" s="92">
        <v>4</v>
      </c>
      <c r="D8" s="93"/>
      <c r="E8" s="69">
        <f t="shared" ref="E8:E21" si="0">IF(D8="A",INDEX(I$2:I$6,MATCH(C8,F$2:F$6,0)),INDEX(K$2:K$6,MATCH(C8,F$2:F$6,0)))</f>
        <v>412.5</v>
      </c>
    </row>
    <row r="9" spans="1:11" ht="16" x14ac:dyDescent="0.2">
      <c r="A9" s="2" t="s">
        <v>17</v>
      </c>
      <c r="B9" s="2" t="s">
        <v>18</v>
      </c>
      <c r="C9" s="92">
        <v>3</v>
      </c>
      <c r="D9" s="93"/>
      <c r="E9" s="69">
        <f t="shared" si="0"/>
        <v>360.5</v>
      </c>
    </row>
    <row r="10" spans="1:11" ht="16" x14ac:dyDescent="0.2">
      <c r="A10" s="2" t="s">
        <v>19</v>
      </c>
      <c r="B10" s="2" t="s">
        <v>20</v>
      </c>
      <c r="C10" s="92">
        <v>4</v>
      </c>
      <c r="D10" s="93"/>
      <c r="E10" s="69">
        <f t="shared" si="0"/>
        <v>412.5</v>
      </c>
    </row>
    <row r="11" spans="1:11" ht="16" x14ac:dyDescent="0.2">
      <c r="A11" s="2" t="s">
        <v>21</v>
      </c>
      <c r="B11" s="2" t="s">
        <v>22</v>
      </c>
      <c r="C11" s="92">
        <v>3</v>
      </c>
      <c r="D11" s="93"/>
      <c r="E11" s="69">
        <f t="shared" si="0"/>
        <v>360.5</v>
      </c>
    </row>
    <row r="12" spans="1:11" ht="16" x14ac:dyDescent="0.2">
      <c r="A12" s="2" t="s">
        <v>23</v>
      </c>
      <c r="B12" s="2" t="s">
        <v>24</v>
      </c>
      <c r="C12" s="92">
        <v>1</v>
      </c>
      <c r="D12" s="93"/>
      <c r="E12" s="69">
        <f t="shared" si="0"/>
        <v>255.5</v>
      </c>
    </row>
    <row r="13" spans="1:11" ht="16" x14ac:dyDescent="0.2">
      <c r="A13" s="2" t="s">
        <v>25</v>
      </c>
      <c r="B13" s="2" t="s">
        <v>26</v>
      </c>
      <c r="C13" s="92">
        <v>3</v>
      </c>
      <c r="D13" s="93"/>
      <c r="E13" s="69">
        <f t="shared" si="0"/>
        <v>360.5</v>
      </c>
    </row>
    <row r="14" spans="1:11" ht="16" x14ac:dyDescent="0.2">
      <c r="A14" s="2" t="s">
        <v>27</v>
      </c>
      <c r="B14" s="2" t="s">
        <v>28</v>
      </c>
      <c r="C14" s="92">
        <v>3</v>
      </c>
      <c r="D14" s="93" t="s">
        <v>9</v>
      </c>
      <c r="E14" s="69">
        <f t="shared" si="0"/>
        <v>176</v>
      </c>
    </row>
    <row r="15" spans="1:11" ht="16" x14ac:dyDescent="0.2">
      <c r="A15" s="2" t="s">
        <v>29</v>
      </c>
      <c r="B15" s="2" t="s">
        <v>13</v>
      </c>
      <c r="C15" s="92">
        <v>4</v>
      </c>
      <c r="D15" s="93"/>
      <c r="E15" s="69">
        <f t="shared" si="0"/>
        <v>412.5</v>
      </c>
    </row>
    <row r="16" spans="1:11" ht="16" x14ac:dyDescent="0.2">
      <c r="A16" s="2" t="s">
        <v>30</v>
      </c>
      <c r="B16" s="2" t="s">
        <v>31</v>
      </c>
      <c r="C16" s="92">
        <v>2</v>
      </c>
      <c r="D16" s="93"/>
      <c r="E16" s="69">
        <f t="shared" si="0"/>
        <v>307.5</v>
      </c>
    </row>
    <row r="17" spans="1:9" ht="16" x14ac:dyDescent="0.2">
      <c r="A17" s="2" t="s">
        <v>32</v>
      </c>
      <c r="B17" s="2" t="s">
        <v>33</v>
      </c>
      <c r="C17" s="92">
        <v>3</v>
      </c>
      <c r="D17" s="93"/>
      <c r="E17" s="69">
        <f t="shared" si="0"/>
        <v>360.5</v>
      </c>
    </row>
    <row r="18" spans="1:9" ht="16" x14ac:dyDescent="0.2">
      <c r="A18" s="2" t="s">
        <v>161</v>
      </c>
      <c r="B18" s="2" t="s">
        <v>28</v>
      </c>
      <c r="C18" s="92">
        <v>1</v>
      </c>
      <c r="D18" s="93" t="s">
        <v>9</v>
      </c>
      <c r="E18" s="69">
        <f t="shared" si="0"/>
        <v>71</v>
      </c>
    </row>
    <row r="19" spans="1:9" ht="16" x14ac:dyDescent="0.2">
      <c r="A19" s="2" t="s">
        <v>34</v>
      </c>
      <c r="B19" s="2" t="s">
        <v>35</v>
      </c>
      <c r="C19" s="92">
        <v>4</v>
      </c>
      <c r="D19" s="93" t="s">
        <v>9</v>
      </c>
      <c r="E19" s="69">
        <f t="shared" si="0"/>
        <v>228</v>
      </c>
    </row>
    <row r="20" spans="1:9" ht="16" x14ac:dyDescent="0.2">
      <c r="A20" s="2" t="s">
        <v>36</v>
      </c>
      <c r="B20" s="2" t="s">
        <v>37</v>
      </c>
      <c r="C20" s="92">
        <v>3</v>
      </c>
      <c r="D20" s="93"/>
      <c r="E20" s="69">
        <f t="shared" si="0"/>
        <v>360.5</v>
      </c>
    </row>
    <row r="21" spans="1:9" ht="16" x14ac:dyDescent="0.2">
      <c r="A21" s="2" t="s">
        <v>138</v>
      </c>
      <c r="B21" s="2" t="s">
        <v>140</v>
      </c>
      <c r="C21" s="92">
        <v>3</v>
      </c>
      <c r="D21" s="93"/>
      <c r="E21" s="69">
        <f t="shared" si="0"/>
        <v>360.5</v>
      </c>
    </row>
    <row r="22" spans="1:9" ht="16" x14ac:dyDescent="0.2">
      <c r="A22" s="70" t="s">
        <v>38</v>
      </c>
      <c r="B22" s="70" t="s">
        <v>39</v>
      </c>
      <c r="C22" s="95"/>
      <c r="D22" s="96"/>
      <c r="E22" s="71"/>
    </row>
    <row r="23" spans="1:9" ht="16" x14ac:dyDescent="0.2">
      <c r="A23" s="2" t="s">
        <v>129</v>
      </c>
      <c r="B23" s="2" t="s">
        <v>130</v>
      </c>
      <c r="C23" s="92">
        <v>3</v>
      </c>
      <c r="D23" s="93"/>
      <c r="E23" s="69">
        <f>IF(D23="A",INDEX(I$2:I$6,MATCH(C23,F$2:F$6,0)),INDEX(K$2:K$6,MATCH(C23,F$2:F$6,0)))</f>
        <v>360.5</v>
      </c>
    </row>
    <row r="24" spans="1:9" ht="16" x14ac:dyDescent="0.2">
      <c r="A24" s="2" t="s">
        <v>139</v>
      </c>
      <c r="B24" s="2" t="s">
        <v>141</v>
      </c>
      <c r="C24" s="92">
        <v>4</v>
      </c>
      <c r="D24" s="93"/>
      <c r="E24" s="69">
        <f>IF(D24="A",INDEX(I$2:I$6,MATCH(C24,F$2:F$6,0)),INDEX(K$2:K$6,MATCH(C24,F$2:F$6,0)))</f>
        <v>412.5</v>
      </c>
    </row>
    <row r="25" spans="1:9" ht="16" x14ac:dyDescent="0.2">
      <c r="A25" s="2" t="s">
        <v>40</v>
      </c>
      <c r="B25" s="2" t="s">
        <v>41</v>
      </c>
      <c r="C25" s="92">
        <v>3</v>
      </c>
      <c r="D25" s="93"/>
      <c r="E25" s="69">
        <f>IF(D25="A",INDEX(I$2:I$6,MATCH(C25,F$2:F$6,0)),INDEX(K$2:K$6,MATCH(C25,F$2:F$6,0)))</f>
        <v>360.5</v>
      </c>
    </row>
    <row r="26" spans="1:9" ht="16" x14ac:dyDescent="0.2">
      <c r="A26" s="2" t="s">
        <v>133</v>
      </c>
      <c r="B26" s="2" t="s">
        <v>24</v>
      </c>
      <c r="C26" s="92">
        <v>3</v>
      </c>
      <c r="D26" s="93"/>
      <c r="E26" s="69">
        <f>IF(D26="A",INDEX(I$2:I$6,MATCH(C26,F$2:F$6,0)),INDEX(K$2:K$6,MATCH(C26,F$2:F$6,0)))</f>
        <v>360.5</v>
      </c>
    </row>
    <row r="27" spans="1:9" ht="16" x14ac:dyDescent="0.2">
      <c r="A27" s="2" t="s">
        <v>42</v>
      </c>
      <c r="B27" s="2" t="s">
        <v>43</v>
      </c>
      <c r="C27" s="92">
        <v>3</v>
      </c>
      <c r="D27" s="93" t="s">
        <v>9</v>
      </c>
      <c r="E27" s="69">
        <f>IF(D27="A",INDEX(I$2:I$6,MATCH(C27,F$2:F$6,0)),INDEX(K$2:K$6,MATCH(C27,F$2:F$6,0)))</f>
        <v>176</v>
      </c>
    </row>
    <row r="28" spans="1:9" ht="16" x14ac:dyDescent="0.2">
      <c r="A28" s="70" t="s">
        <v>44</v>
      </c>
      <c r="B28" s="70" t="s">
        <v>31</v>
      </c>
      <c r="C28" s="95"/>
      <c r="D28" s="96"/>
      <c r="E28" s="71"/>
      <c r="I28" t="s">
        <v>147</v>
      </c>
    </row>
    <row r="29" spans="1:9" ht="16" x14ac:dyDescent="0.2">
      <c r="A29" s="2" t="s">
        <v>142</v>
      </c>
      <c r="B29" s="2" t="s">
        <v>143</v>
      </c>
      <c r="C29" s="92">
        <v>3</v>
      </c>
      <c r="D29" s="93"/>
      <c r="E29" s="69">
        <f>IF(D29="A",INDEX(I$2:I$6,MATCH(C29,F$2:F$6,0)),INDEX(K$2:K$6,MATCH(C29,F$2:F$6,0)))</f>
        <v>360.5</v>
      </c>
      <c r="I29" t="s">
        <v>148</v>
      </c>
    </row>
    <row r="30" spans="1:9" ht="16" x14ac:dyDescent="0.2">
      <c r="A30" s="2" t="s">
        <v>142</v>
      </c>
      <c r="B30" s="2" t="s">
        <v>144</v>
      </c>
      <c r="C30" s="92">
        <v>3</v>
      </c>
      <c r="D30" s="93"/>
      <c r="E30" s="69">
        <f>IF(D30="A",INDEX(I$2:I$6,MATCH(C30,F$2:F$6,0)),INDEX(K$2:K$6,MATCH(C30,F$2:F$6,0)))</f>
        <v>360.5</v>
      </c>
    </row>
    <row r="31" spans="1:9" ht="16" x14ac:dyDescent="0.2">
      <c r="A31" s="2" t="s">
        <v>45</v>
      </c>
      <c r="B31" s="2" t="s">
        <v>46</v>
      </c>
      <c r="C31" s="92">
        <v>3</v>
      </c>
      <c r="D31" s="93"/>
      <c r="E31" s="69">
        <f>IF(D31="A",INDEX(I$2:I$6,MATCH(C31,F$2:F$6,0)),INDEX(K$2:K$6,MATCH(C31,F$2:F$6,0)))</f>
        <v>360.5</v>
      </c>
    </row>
    <row r="32" spans="1:9" ht="16" x14ac:dyDescent="0.2">
      <c r="A32" s="2" t="s">
        <v>131</v>
      </c>
      <c r="B32" s="2" t="s">
        <v>132</v>
      </c>
      <c r="C32" s="92">
        <v>2</v>
      </c>
      <c r="D32" s="93"/>
      <c r="E32" s="69">
        <f>IF(D32="A",INDEX(I$2:I$6,MATCH(C32,F$2:F$6,0)),INDEX(K$2:K$6,MATCH(C32,F$2:F$6,0)))</f>
        <v>307.5</v>
      </c>
    </row>
    <row r="33" spans="1:5" ht="16" x14ac:dyDescent="0.2">
      <c r="A33" s="2" t="s">
        <v>128</v>
      </c>
      <c r="B33" s="2" t="s">
        <v>47</v>
      </c>
      <c r="C33" s="92">
        <v>2</v>
      </c>
      <c r="D33" s="93"/>
      <c r="E33" s="69">
        <f>IF(D33="A",INDEX(I$2:I$6,MATCH(C33,F$2:F$6,0)),INDEX(K$2:K$6,MATCH(C33,F$2:F$6,0)))</f>
        <v>307.5</v>
      </c>
    </row>
    <row r="34" spans="1:5" ht="16" x14ac:dyDescent="0.2">
      <c r="A34" s="2"/>
      <c r="B34" s="2"/>
      <c r="C34" s="92"/>
      <c r="D34" s="93"/>
      <c r="E34" s="69"/>
    </row>
    <row r="35" spans="1:5" ht="16" x14ac:dyDescent="0.2">
      <c r="A35" s="2"/>
      <c r="B35" s="2"/>
      <c r="C35" s="92"/>
      <c r="D35" s="93"/>
      <c r="E35" s="69"/>
    </row>
    <row r="36" spans="1:5" ht="16" x14ac:dyDescent="0.2">
      <c r="A36" s="2"/>
      <c r="B36" s="2"/>
      <c r="C36" s="92"/>
      <c r="D36" s="93"/>
      <c r="E36" s="69"/>
    </row>
    <row r="37" spans="1:5" ht="16" x14ac:dyDescent="0.2">
      <c r="A37" s="2"/>
      <c r="B37" s="2"/>
      <c r="C37" s="92"/>
      <c r="D37" s="93"/>
      <c r="E37" s="69"/>
    </row>
    <row r="38" spans="1:5" ht="16" x14ac:dyDescent="0.2">
      <c r="A38" s="2"/>
      <c r="B38" s="2"/>
      <c r="C38" s="92"/>
      <c r="D38" s="93"/>
      <c r="E38" s="69"/>
    </row>
    <row r="39" spans="1:5" ht="16" x14ac:dyDescent="0.2">
      <c r="A39" s="2"/>
      <c r="B39" s="2"/>
      <c r="C39" s="92"/>
      <c r="D39" s="93"/>
      <c r="E39" s="69"/>
    </row>
    <row r="40" spans="1:5" ht="16" x14ac:dyDescent="0.2">
      <c r="A40" s="2"/>
      <c r="B40" s="2"/>
      <c r="C40" s="92"/>
      <c r="D40" s="93"/>
      <c r="E40" s="69"/>
    </row>
    <row r="41" spans="1:5" ht="16" x14ac:dyDescent="0.2">
      <c r="A41" s="2"/>
      <c r="B41" s="2"/>
      <c r="C41" s="92"/>
      <c r="D41" s="93"/>
      <c r="E41" s="69"/>
    </row>
    <row r="42" spans="1:5" ht="16" x14ac:dyDescent="0.2">
      <c r="A42" s="2"/>
      <c r="B42" s="2"/>
      <c r="C42" s="92"/>
      <c r="D42" s="93"/>
      <c r="E42" s="69"/>
    </row>
    <row r="43" spans="1:5" ht="16" x14ac:dyDescent="0.2">
      <c r="A43" s="2"/>
      <c r="B43" s="2"/>
      <c r="C43" s="92"/>
      <c r="D43" s="93"/>
      <c r="E43" s="69"/>
    </row>
    <row r="44" spans="1:5" ht="16" x14ac:dyDescent="0.2">
      <c r="A44" s="2"/>
      <c r="B44" s="2"/>
      <c r="C44" s="92"/>
      <c r="D44" s="93"/>
      <c r="E44" s="69"/>
    </row>
    <row r="45" spans="1:5" ht="16" x14ac:dyDescent="0.2">
      <c r="A45" s="2"/>
      <c r="B45" s="2"/>
      <c r="C45" s="92"/>
      <c r="D45" s="93"/>
      <c r="E45" s="69"/>
    </row>
    <row r="46" spans="1:5" ht="16" x14ac:dyDescent="0.2">
      <c r="A46" s="2"/>
      <c r="B46" s="2"/>
      <c r="C46" s="92"/>
      <c r="D46" s="93"/>
      <c r="E46" s="69"/>
    </row>
    <row r="49" spans="1:4" ht="16" x14ac:dyDescent="0.2">
      <c r="A49" s="2" t="s">
        <v>136</v>
      </c>
      <c r="B49" t="s">
        <v>137</v>
      </c>
      <c r="C49" t="s">
        <v>146</v>
      </c>
    </row>
    <row r="50" spans="1:4" ht="16" x14ac:dyDescent="0.2">
      <c r="A50" s="2" t="s">
        <v>48</v>
      </c>
      <c r="B50">
        <v>1</v>
      </c>
      <c r="C50">
        <f>COUNTIF(C$2:C$46,B50)</f>
        <v>3</v>
      </c>
    </row>
    <row r="51" spans="1:4" ht="16" x14ac:dyDescent="0.2">
      <c r="A51" s="2" t="s">
        <v>49</v>
      </c>
      <c r="B51">
        <v>2</v>
      </c>
      <c r="C51">
        <f>COUNTIF(C$2:C$46,B51)</f>
        <v>4</v>
      </c>
    </row>
    <row r="52" spans="1:4" ht="16" x14ac:dyDescent="0.2">
      <c r="A52" s="2" t="s">
        <v>50</v>
      </c>
      <c r="B52">
        <v>3</v>
      </c>
      <c r="C52">
        <f>COUNTIF(C$2:C$46,B52)</f>
        <v>15</v>
      </c>
    </row>
    <row r="53" spans="1:4" ht="16" x14ac:dyDescent="0.2">
      <c r="A53" s="2" t="s">
        <v>51</v>
      </c>
      <c r="B53">
        <v>4</v>
      </c>
      <c r="C53">
        <f>COUNTIF(C$2:C$46,B53)</f>
        <v>5</v>
      </c>
    </row>
    <row r="54" spans="1:4" ht="16" x14ac:dyDescent="0.2">
      <c r="A54" s="2" t="s">
        <v>52</v>
      </c>
      <c r="B54">
        <v>5</v>
      </c>
      <c r="C54">
        <f>COUNTIF(C$2:C$46,B54)</f>
        <v>1</v>
      </c>
    </row>
    <row r="55" spans="1:4" x14ac:dyDescent="0.2">
      <c r="B55" s="74" t="s">
        <v>53</v>
      </c>
      <c r="C55" s="74">
        <f>SUM(C50:C54)</f>
        <v>28</v>
      </c>
    </row>
    <row r="57" spans="1:4" ht="19" x14ac:dyDescent="0.25">
      <c r="A57" s="97" t="s">
        <v>154</v>
      </c>
      <c r="B57" s="97"/>
      <c r="C57" s="97"/>
      <c r="D57" s="97">
        <f>COUNTIF(Tableau3[[Affillié ]],"A")</f>
        <v>5</v>
      </c>
    </row>
  </sheetData>
  <dataValidations count="2">
    <dataValidation type="list" allowBlank="1" showInputMessage="1" showErrorMessage="1" sqref="C2:C3 C5:C6 C8:C34 C36:C40 C42:C46" xr:uid="{48745997-F27C-4CD7-8F68-B7B1A0F1C970}">
      <formula1>"1,2,3,4,5"</formula1>
    </dataValidation>
    <dataValidation type="list" allowBlank="1" showInputMessage="1" showErrorMessage="1" sqref="D2:D46" xr:uid="{A9BD8D07-3F26-4847-ACA5-25DA730F08E4}">
      <formula1>"A,"</formula1>
    </dataValidation>
  </dataValidations>
  <pageMargins left="0.7" right="0.7" top="0.75" bottom="0.75" header="0.3" footer="0.3"/>
  <pageSetup paperSize="9" scale="83" orientation="landscape" horizontalDpi="300" verticalDpi="3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2"/>
  <sheetViews>
    <sheetView zoomScale="107" zoomScaleNormal="107" workbookViewId="0">
      <selection activeCell="D11" sqref="D11"/>
    </sheetView>
  </sheetViews>
  <sheetFormatPr baseColWidth="10" defaultColWidth="11.5" defaultRowHeight="15" x14ac:dyDescent="0.2"/>
  <cols>
    <col min="1" max="1" width="32.1640625" customWidth="1"/>
    <col min="2" max="6" width="9.1640625" bestFit="1" customWidth="1"/>
    <col min="7" max="7" width="15.5" customWidth="1"/>
    <col min="8" max="8" width="8.83203125" customWidth="1"/>
    <col min="9" max="9" width="9.6640625" bestFit="1" customWidth="1"/>
  </cols>
  <sheetData>
    <row r="2" spans="1:11" x14ac:dyDescent="0.2">
      <c r="A2" s="3" t="s">
        <v>54</v>
      </c>
      <c r="B2" s="4">
        <v>2023</v>
      </c>
      <c r="C2" s="4">
        <v>2024</v>
      </c>
      <c r="D2" s="4">
        <v>2025</v>
      </c>
      <c r="E2" s="4">
        <v>2026</v>
      </c>
      <c r="F2" s="4">
        <v>2027</v>
      </c>
      <c r="G2" s="4">
        <v>2028</v>
      </c>
      <c r="H2" s="4">
        <v>2029</v>
      </c>
      <c r="I2" s="4">
        <v>2030</v>
      </c>
    </row>
    <row r="3" spans="1:11" ht="8.25" customHeight="1" x14ac:dyDescent="0.2">
      <c r="A3" s="5"/>
      <c r="B3" s="5">
        <f>'Ne Pas transmettre  Tranches '!C50</f>
        <v>3</v>
      </c>
      <c r="C3" s="5"/>
      <c r="D3" s="5"/>
      <c r="E3" s="5"/>
      <c r="F3" s="5"/>
      <c r="G3" s="5"/>
      <c r="H3" s="5"/>
      <c r="I3" s="5"/>
    </row>
    <row r="4" spans="1:11" x14ac:dyDescent="0.2">
      <c r="A4" s="76" t="s">
        <v>55</v>
      </c>
      <c r="B4" s="77">
        <v>20</v>
      </c>
      <c r="C4" s="78">
        <v>19</v>
      </c>
      <c r="D4" s="78">
        <f>'Ne Pas transmettre  Tranches '!C55-'Ne Pas transmettre  Tranches '!D57</f>
        <v>23</v>
      </c>
      <c r="E4" s="78">
        <v>23</v>
      </c>
      <c r="F4" s="78">
        <v>26</v>
      </c>
      <c r="G4" s="78">
        <v>28</v>
      </c>
      <c r="H4" s="78">
        <v>30</v>
      </c>
      <c r="I4" s="79">
        <v>32</v>
      </c>
    </row>
    <row r="5" spans="1:11" x14ac:dyDescent="0.2">
      <c r="A5" s="80" t="s">
        <v>56</v>
      </c>
      <c r="B5" s="81">
        <v>4</v>
      </c>
      <c r="C5" s="82">
        <v>9</v>
      </c>
      <c r="D5" s="82">
        <f>'Ne Pas transmettre  Tranches '!D57</f>
        <v>5</v>
      </c>
      <c r="E5" s="82">
        <v>7</v>
      </c>
      <c r="F5" s="82">
        <v>7</v>
      </c>
      <c r="G5" s="82">
        <v>6</v>
      </c>
      <c r="H5" s="82">
        <v>6</v>
      </c>
      <c r="I5" s="82">
        <v>6</v>
      </c>
    </row>
    <row r="6" spans="1:11" x14ac:dyDescent="0.2">
      <c r="A6" s="7" t="s">
        <v>57</v>
      </c>
      <c r="B6" s="8">
        <f t="shared" ref="B6:I6" si="0">SUM(B4:B5)</f>
        <v>24</v>
      </c>
      <c r="C6" s="9">
        <f t="shared" si="0"/>
        <v>28</v>
      </c>
      <c r="D6" s="9">
        <f t="shared" si="0"/>
        <v>28</v>
      </c>
      <c r="E6" s="9">
        <f t="shared" si="0"/>
        <v>30</v>
      </c>
      <c r="F6" s="9">
        <f t="shared" si="0"/>
        <v>33</v>
      </c>
      <c r="G6" s="9">
        <f t="shared" si="0"/>
        <v>34</v>
      </c>
      <c r="H6" s="9">
        <f t="shared" si="0"/>
        <v>36</v>
      </c>
      <c r="I6" s="10">
        <f t="shared" si="0"/>
        <v>38</v>
      </c>
    </row>
    <row r="7" spans="1:11" ht="5.25" customHeight="1" x14ac:dyDescent="0.2"/>
    <row r="8" spans="1:11" x14ac:dyDescent="0.2">
      <c r="A8" s="11" t="s">
        <v>58</v>
      </c>
      <c r="B8" s="12">
        <v>20</v>
      </c>
      <c r="C8" s="13">
        <v>20</v>
      </c>
      <c r="D8" s="13">
        <v>20</v>
      </c>
      <c r="E8" s="13">
        <v>20</v>
      </c>
      <c r="F8" s="13">
        <v>20</v>
      </c>
      <c r="G8" s="13">
        <v>20</v>
      </c>
      <c r="H8" s="13">
        <v>20</v>
      </c>
      <c r="I8" s="14">
        <v>20</v>
      </c>
    </row>
    <row r="9" spans="1:11" ht="6" customHeight="1" x14ac:dyDescent="0.2"/>
    <row r="10" spans="1:11" x14ac:dyDescent="0.2">
      <c r="A10" s="76" t="s">
        <v>59</v>
      </c>
      <c r="B10" s="83">
        <v>1066</v>
      </c>
      <c r="C10" s="84">
        <v>500</v>
      </c>
      <c r="D10" s="84">
        <v>500</v>
      </c>
      <c r="E10" s="84">
        <v>500</v>
      </c>
      <c r="F10" s="84">
        <v>500</v>
      </c>
      <c r="G10" s="84">
        <v>500</v>
      </c>
      <c r="H10" s="84">
        <v>500</v>
      </c>
      <c r="I10" s="84">
        <v>500</v>
      </c>
    </row>
    <row r="11" spans="1:11" x14ac:dyDescent="0.2">
      <c r="A11" s="85" t="s">
        <v>60</v>
      </c>
      <c r="B11" s="86">
        <f t="shared" ref="B11:C11" si="1">B8*100</f>
        <v>2000</v>
      </c>
      <c r="C11" s="86">
        <f t="shared" si="1"/>
        <v>2000</v>
      </c>
      <c r="D11" s="86">
        <v>2400</v>
      </c>
      <c r="E11" s="86">
        <v>2400</v>
      </c>
      <c r="F11" s="86">
        <v>2400</v>
      </c>
      <c r="G11" s="86">
        <v>2400</v>
      </c>
      <c r="H11" s="86">
        <v>2400</v>
      </c>
      <c r="I11" s="86">
        <v>2400</v>
      </c>
    </row>
    <row r="12" spans="1:11" x14ac:dyDescent="0.2">
      <c r="A12" s="85" t="s">
        <v>61</v>
      </c>
      <c r="B12" s="86">
        <f>140/4</f>
        <v>35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K12" t="s">
        <v>149</v>
      </c>
    </row>
    <row r="13" spans="1:11" x14ac:dyDescent="0.2">
      <c r="A13" s="85" t="s">
        <v>62</v>
      </c>
      <c r="B13" s="86">
        <v>500</v>
      </c>
      <c r="C13" s="87">
        <v>500</v>
      </c>
      <c r="D13" s="87">
        <v>500</v>
      </c>
      <c r="E13" s="87">
        <v>500</v>
      </c>
      <c r="F13" s="87">
        <v>500</v>
      </c>
      <c r="G13" s="87">
        <v>500</v>
      </c>
      <c r="H13" s="87">
        <v>500</v>
      </c>
      <c r="I13" s="87">
        <v>500</v>
      </c>
      <c r="K13" t="s">
        <v>150</v>
      </c>
    </row>
    <row r="14" spans="1:11" x14ac:dyDescent="0.2">
      <c r="A14" s="85" t="s">
        <v>63</v>
      </c>
      <c r="B14" s="86">
        <v>190</v>
      </c>
      <c r="C14" s="87">
        <v>190</v>
      </c>
      <c r="D14" s="87">
        <v>190</v>
      </c>
      <c r="E14" s="87">
        <v>190</v>
      </c>
      <c r="F14" s="87">
        <v>190</v>
      </c>
      <c r="G14" s="87">
        <v>190</v>
      </c>
      <c r="H14" s="87">
        <v>190</v>
      </c>
      <c r="I14" s="87">
        <v>190</v>
      </c>
      <c r="K14" t="s">
        <v>151</v>
      </c>
    </row>
    <row r="15" spans="1:11" x14ac:dyDescent="0.2">
      <c r="A15" s="85" t="s">
        <v>64</v>
      </c>
      <c r="B15" s="86">
        <v>10</v>
      </c>
      <c r="C15" s="87">
        <v>0</v>
      </c>
      <c r="D15" s="87">
        <v>10</v>
      </c>
      <c r="E15" s="87">
        <v>35</v>
      </c>
      <c r="F15" s="87">
        <v>35</v>
      </c>
      <c r="G15" s="87">
        <v>35</v>
      </c>
      <c r="H15" s="87">
        <v>35</v>
      </c>
      <c r="I15" s="87">
        <v>35</v>
      </c>
      <c r="K15" t="s">
        <v>152</v>
      </c>
    </row>
    <row r="16" spans="1:11" x14ac:dyDescent="0.2">
      <c r="A16" s="85" t="s">
        <v>65</v>
      </c>
      <c r="B16" s="86">
        <v>0</v>
      </c>
      <c r="C16" s="87">
        <v>111</v>
      </c>
      <c r="D16" s="87">
        <v>111</v>
      </c>
      <c r="E16" s="87">
        <v>111</v>
      </c>
      <c r="F16" s="87">
        <v>111</v>
      </c>
      <c r="G16" s="87">
        <v>111</v>
      </c>
      <c r="H16" s="87">
        <v>111</v>
      </c>
      <c r="I16" s="87">
        <v>111</v>
      </c>
      <c r="K16" t="s">
        <v>153</v>
      </c>
    </row>
    <row r="17" spans="1:11" x14ac:dyDescent="0.2">
      <c r="A17" s="85" t="s">
        <v>66</v>
      </c>
      <c r="B17" s="86">
        <f>5*3</f>
        <v>15</v>
      </c>
      <c r="C17" s="87">
        <v>0</v>
      </c>
      <c r="D17" s="87">
        <f t="shared" ref="D17:I17" si="2">5*12</f>
        <v>60</v>
      </c>
      <c r="E17" s="87">
        <f t="shared" si="2"/>
        <v>60</v>
      </c>
      <c r="F17" s="87">
        <f t="shared" si="2"/>
        <v>60</v>
      </c>
      <c r="G17" s="87">
        <f t="shared" si="2"/>
        <v>60</v>
      </c>
      <c r="H17" s="87">
        <f t="shared" si="2"/>
        <v>60</v>
      </c>
      <c r="I17" s="87">
        <f t="shared" si="2"/>
        <v>60</v>
      </c>
    </row>
    <row r="18" spans="1:11" x14ac:dyDescent="0.2">
      <c r="A18" s="85" t="s">
        <v>145</v>
      </c>
      <c r="B18" s="86">
        <v>0</v>
      </c>
      <c r="C18" s="87">
        <v>0</v>
      </c>
      <c r="D18" s="87">
        <v>120</v>
      </c>
      <c r="E18" s="87">
        <v>240</v>
      </c>
      <c r="F18" s="87">
        <v>240</v>
      </c>
      <c r="G18" s="87">
        <v>240</v>
      </c>
      <c r="H18" s="87">
        <v>240</v>
      </c>
      <c r="I18" s="87">
        <v>240</v>
      </c>
    </row>
    <row r="19" spans="1:11" x14ac:dyDescent="0.2">
      <c r="A19" s="85" t="s">
        <v>67</v>
      </c>
      <c r="B19" s="86">
        <v>600</v>
      </c>
      <c r="C19" s="87">
        <v>400</v>
      </c>
      <c r="D19" s="87">
        <v>300</v>
      </c>
      <c r="E19" s="87">
        <v>300</v>
      </c>
      <c r="F19" s="87">
        <v>300</v>
      </c>
      <c r="G19" s="87">
        <v>300</v>
      </c>
      <c r="H19" s="87">
        <v>300</v>
      </c>
      <c r="I19" s="87">
        <v>300</v>
      </c>
    </row>
    <row r="20" spans="1:11" x14ac:dyDescent="0.2">
      <c r="A20" s="88" t="s">
        <v>68</v>
      </c>
      <c r="B20" s="89">
        <f>B6*20</f>
        <v>480</v>
      </c>
      <c r="C20" s="89">
        <f>28*20</f>
        <v>560</v>
      </c>
      <c r="D20" s="89">
        <f t="shared" ref="D20" si="3">D6*20</f>
        <v>560</v>
      </c>
      <c r="E20" s="89">
        <f t="shared" ref="E20:I20" si="4">E6*20</f>
        <v>600</v>
      </c>
      <c r="F20" s="89">
        <f t="shared" si="4"/>
        <v>660</v>
      </c>
      <c r="G20" s="89">
        <f t="shared" si="4"/>
        <v>680</v>
      </c>
      <c r="H20" s="89">
        <f t="shared" si="4"/>
        <v>720</v>
      </c>
      <c r="I20" s="89">
        <f t="shared" si="4"/>
        <v>760</v>
      </c>
    </row>
    <row r="21" spans="1:11" x14ac:dyDescent="0.2">
      <c r="A21" s="15" t="s">
        <v>69</v>
      </c>
      <c r="B21" s="16">
        <f t="shared" ref="B21:I21" si="5">SUM(B10:B20)</f>
        <v>4896</v>
      </c>
      <c r="C21" s="16">
        <f t="shared" si="5"/>
        <v>4261</v>
      </c>
      <c r="D21" s="16">
        <f t="shared" si="5"/>
        <v>4751</v>
      </c>
      <c r="E21" s="16">
        <f t="shared" si="5"/>
        <v>4936</v>
      </c>
      <c r="F21" s="16">
        <f t="shared" si="5"/>
        <v>4996</v>
      </c>
      <c r="G21" s="16">
        <f t="shared" si="5"/>
        <v>5016</v>
      </c>
      <c r="H21" s="16">
        <f t="shared" si="5"/>
        <v>5056</v>
      </c>
      <c r="I21" s="17">
        <f t="shared" si="5"/>
        <v>5096</v>
      </c>
    </row>
    <row r="22" spans="1:11" x14ac:dyDescent="0.2">
      <c r="A22" s="18" t="s">
        <v>70</v>
      </c>
      <c r="B22" s="19">
        <f t="shared" ref="B22:I22" si="6">B4*(B33+B34)</f>
        <v>3514</v>
      </c>
      <c r="C22" s="19">
        <f t="shared" si="6"/>
        <v>3338.2999999999997</v>
      </c>
      <c r="D22" s="19">
        <f t="shared" si="6"/>
        <v>4243.5</v>
      </c>
      <c r="E22" s="19">
        <f t="shared" si="6"/>
        <v>4243.5</v>
      </c>
      <c r="F22" s="19">
        <f t="shared" si="6"/>
        <v>4797</v>
      </c>
      <c r="G22" s="19">
        <f t="shared" si="6"/>
        <v>5166</v>
      </c>
      <c r="H22" s="19">
        <f t="shared" si="6"/>
        <v>5535</v>
      </c>
      <c r="I22" s="20">
        <f t="shared" si="6"/>
        <v>5904</v>
      </c>
    </row>
    <row r="23" spans="1:11" x14ac:dyDescent="0.2">
      <c r="A23" s="21" t="s">
        <v>71</v>
      </c>
      <c r="B23" s="22">
        <f t="shared" ref="B23:I23" si="7">B21+B22</f>
        <v>8410</v>
      </c>
      <c r="C23" s="22">
        <f t="shared" si="7"/>
        <v>7599.2999999999993</v>
      </c>
      <c r="D23" s="22">
        <f t="shared" si="7"/>
        <v>8994.5</v>
      </c>
      <c r="E23" s="22">
        <f t="shared" si="7"/>
        <v>9179.5</v>
      </c>
      <c r="F23" s="22">
        <f t="shared" si="7"/>
        <v>9793</v>
      </c>
      <c r="G23" s="22">
        <f t="shared" si="7"/>
        <v>10182</v>
      </c>
      <c r="H23" s="22">
        <f t="shared" si="7"/>
        <v>10591</v>
      </c>
      <c r="I23" s="23">
        <f t="shared" si="7"/>
        <v>11000</v>
      </c>
    </row>
    <row r="24" spans="1:11" ht="6.75" customHeight="1" x14ac:dyDescent="0.2">
      <c r="B24" s="24"/>
      <c r="C24" s="24"/>
      <c r="D24" s="24"/>
      <c r="E24" s="24"/>
      <c r="F24" s="24"/>
      <c r="G24" s="24"/>
      <c r="H24" s="24"/>
      <c r="I24" s="24"/>
    </row>
    <row r="25" spans="1:11" x14ac:dyDescent="0.2">
      <c r="A25" s="76" t="s">
        <v>72</v>
      </c>
      <c r="B25" s="83">
        <v>800</v>
      </c>
      <c r="C25" s="84"/>
      <c r="D25" s="84"/>
      <c r="E25" s="84"/>
      <c r="F25" s="84"/>
      <c r="G25" s="84"/>
      <c r="H25" s="84"/>
      <c r="I25" s="90"/>
    </row>
    <row r="26" spans="1:11" x14ac:dyDescent="0.2">
      <c r="A26" s="85" t="s">
        <v>73</v>
      </c>
      <c r="B26" s="86">
        <f>100+100+200+300+300+50+50+200</f>
        <v>1300</v>
      </c>
      <c r="C26" s="87"/>
      <c r="D26" s="87"/>
      <c r="E26" s="87"/>
      <c r="F26" s="87"/>
      <c r="G26" s="87"/>
      <c r="H26" s="87"/>
      <c r="I26" s="91"/>
    </row>
    <row r="27" spans="1:11" x14ac:dyDescent="0.2">
      <c r="A27" s="6" t="s">
        <v>74</v>
      </c>
      <c r="B27" s="25">
        <f t="shared" ref="B27:I27" si="8">B28-B26-B25</f>
        <v>2796</v>
      </c>
      <c r="C27" s="26">
        <f t="shared" si="8"/>
        <v>4261</v>
      </c>
      <c r="D27" s="26">
        <f t="shared" si="8"/>
        <v>4751</v>
      </c>
      <c r="E27" s="26">
        <f t="shared" si="8"/>
        <v>4936</v>
      </c>
      <c r="F27" s="26">
        <f t="shared" si="8"/>
        <v>4996</v>
      </c>
      <c r="G27" s="26">
        <f t="shared" si="8"/>
        <v>5016</v>
      </c>
      <c r="H27" s="26">
        <f t="shared" si="8"/>
        <v>5056</v>
      </c>
      <c r="I27" s="27">
        <f t="shared" si="8"/>
        <v>5096</v>
      </c>
    </row>
    <row r="28" spans="1:11" x14ac:dyDescent="0.2">
      <c r="A28" s="15" t="s">
        <v>75</v>
      </c>
      <c r="B28" s="16">
        <f t="shared" ref="B28:I28" si="9">B21</f>
        <v>4896</v>
      </c>
      <c r="C28" s="28">
        <f t="shared" si="9"/>
        <v>4261</v>
      </c>
      <c r="D28" s="28">
        <f t="shared" si="9"/>
        <v>4751</v>
      </c>
      <c r="E28" s="28">
        <f t="shared" si="9"/>
        <v>4936</v>
      </c>
      <c r="F28" s="28">
        <f t="shared" si="9"/>
        <v>4996</v>
      </c>
      <c r="G28" s="28">
        <f t="shared" si="9"/>
        <v>5016</v>
      </c>
      <c r="H28" s="28">
        <f t="shared" si="9"/>
        <v>5056</v>
      </c>
      <c r="I28" s="29">
        <f t="shared" si="9"/>
        <v>5096</v>
      </c>
    </row>
    <row r="29" spans="1:11" x14ac:dyDescent="0.2">
      <c r="A29" s="18" t="s">
        <v>70</v>
      </c>
      <c r="B29" s="19">
        <f t="shared" ref="B29:I29" si="10">B4*(B33+B34)</f>
        <v>3514</v>
      </c>
      <c r="C29" s="19">
        <f t="shared" si="10"/>
        <v>3338.2999999999997</v>
      </c>
      <c r="D29" s="19">
        <f t="shared" si="10"/>
        <v>4243.5</v>
      </c>
      <c r="E29" s="19">
        <f t="shared" si="10"/>
        <v>4243.5</v>
      </c>
      <c r="F29" s="19">
        <f t="shared" si="10"/>
        <v>4797</v>
      </c>
      <c r="G29" s="19">
        <f t="shared" si="10"/>
        <v>5166</v>
      </c>
      <c r="H29" s="19">
        <f t="shared" si="10"/>
        <v>5535</v>
      </c>
      <c r="I29" s="20">
        <f t="shared" si="10"/>
        <v>5904</v>
      </c>
    </row>
    <row r="30" spans="1:11" x14ac:dyDescent="0.2">
      <c r="A30" s="21" t="s">
        <v>76</v>
      </c>
      <c r="B30" s="22">
        <f t="shared" ref="B30:I30" si="11">B28+B4*(B33+B34)</f>
        <v>8410</v>
      </c>
      <c r="C30" s="22">
        <f t="shared" si="11"/>
        <v>7599.2999999999993</v>
      </c>
      <c r="D30" s="22">
        <f t="shared" si="11"/>
        <v>8994.5</v>
      </c>
      <c r="E30" s="22">
        <f t="shared" si="11"/>
        <v>9179.5</v>
      </c>
      <c r="F30" s="22">
        <f t="shared" si="11"/>
        <v>9793</v>
      </c>
      <c r="G30" s="22">
        <f t="shared" si="11"/>
        <v>10182</v>
      </c>
      <c r="H30" s="22">
        <f t="shared" si="11"/>
        <v>10591</v>
      </c>
      <c r="I30" s="22">
        <f t="shared" si="11"/>
        <v>11000</v>
      </c>
    </row>
    <row r="31" spans="1:11" ht="6" customHeight="1" x14ac:dyDescent="0.2">
      <c r="B31" s="24"/>
      <c r="C31" s="24"/>
      <c r="D31" s="24"/>
      <c r="E31" s="24"/>
      <c r="F31" s="24"/>
      <c r="G31" s="24"/>
      <c r="H31" s="24"/>
      <c r="I31" s="24"/>
    </row>
    <row r="32" spans="1:11" x14ac:dyDescent="0.2">
      <c r="A32" s="30" t="s">
        <v>77</v>
      </c>
      <c r="B32" s="31">
        <f t="shared" ref="B32:I32" si="12">B27/B6</f>
        <v>116.5</v>
      </c>
      <c r="C32" s="32">
        <f t="shared" si="12"/>
        <v>152.17857142857142</v>
      </c>
      <c r="D32" s="32">
        <f t="shared" si="12"/>
        <v>169.67857142857142</v>
      </c>
      <c r="E32" s="32">
        <f t="shared" si="12"/>
        <v>164.53333333333333</v>
      </c>
      <c r="F32" s="32">
        <f t="shared" si="12"/>
        <v>151.39393939393941</v>
      </c>
      <c r="G32" s="32">
        <f t="shared" si="12"/>
        <v>147.52941176470588</v>
      </c>
      <c r="H32" s="32">
        <f t="shared" si="12"/>
        <v>140.44444444444446</v>
      </c>
      <c r="I32" s="33">
        <f t="shared" si="12"/>
        <v>134.10526315789474</v>
      </c>
      <c r="J32" t="s">
        <v>162</v>
      </c>
      <c r="K32" t="s">
        <v>163</v>
      </c>
    </row>
    <row r="33" spans="1:11" x14ac:dyDescent="0.2">
      <c r="A33" s="85" t="s">
        <v>78</v>
      </c>
      <c r="B33" s="87">
        <v>171.7</v>
      </c>
      <c r="C33" s="87">
        <v>171.7</v>
      </c>
      <c r="D33" s="87">
        <v>180.5</v>
      </c>
      <c r="E33" s="87">
        <v>180.5</v>
      </c>
      <c r="F33" s="87">
        <v>180.5</v>
      </c>
      <c r="G33" s="87">
        <v>180.5</v>
      </c>
      <c r="H33" s="87">
        <v>180.5</v>
      </c>
      <c r="I33" s="87">
        <v>180.5</v>
      </c>
    </row>
    <row r="34" spans="1:11" x14ac:dyDescent="0.2">
      <c r="A34" s="85" t="s">
        <v>79</v>
      </c>
      <c r="B34" s="87">
        <v>4</v>
      </c>
      <c r="C34" s="87">
        <v>4</v>
      </c>
      <c r="D34" s="87">
        <v>4</v>
      </c>
      <c r="E34" s="87">
        <v>4</v>
      </c>
      <c r="F34" s="87">
        <v>4</v>
      </c>
      <c r="G34" s="87">
        <v>4</v>
      </c>
      <c r="H34" s="87">
        <v>4</v>
      </c>
      <c r="I34" s="91">
        <v>4</v>
      </c>
    </row>
    <row r="35" spans="1:11" x14ac:dyDescent="0.2">
      <c r="A35" s="34" t="s">
        <v>80</v>
      </c>
      <c r="B35" s="35">
        <f t="shared" ref="B35:I35" si="13">SUM(B32:B34)</f>
        <v>292.2</v>
      </c>
      <c r="C35" s="36">
        <f t="shared" si="13"/>
        <v>327.87857142857138</v>
      </c>
      <c r="D35" s="36">
        <f t="shared" si="13"/>
        <v>354.17857142857144</v>
      </c>
      <c r="E35" s="36">
        <f t="shared" si="13"/>
        <v>349.0333333333333</v>
      </c>
      <c r="F35" s="36">
        <f t="shared" si="13"/>
        <v>335.89393939393938</v>
      </c>
      <c r="G35" s="36">
        <f t="shared" si="13"/>
        <v>332.02941176470586</v>
      </c>
      <c r="H35" s="36">
        <f t="shared" si="13"/>
        <v>324.94444444444446</v>
      </c>
      <c r="I35" s="37">
        <f t="shared" si="13"/>
        <v>318.60526315789474</v>
      </c>
      <c r="J35" s="75" t="s">
        <v>159</v>
      </c>
      <c r="K35" s="75" t="s">
        <v>160</v>
      </c>
    </row>
    <row r="36" spans="1:11" x14ac:dyDescent="0.2">
      <c r="A36" s="38" t="s">
        <v>81</v>
      </c>
    </row>
    <row r="37" spans="1:11" x14ac:dyDescent="0.2">
      <c r="A37" s="38" t="s">
        <v>82</v>
      </c>
    </row>
    <row r="38" spans="1:11" x14ac:dyDescent="0.2">
      <c r="A38" s="38" t="s">
        <v>83</v>
      </c>
    </row>
    <row r="39" spans="1:11" x14ac:dyDescent="0.2">
      <c r="C39" s="24"/>
    </row>
    <row r="40" spans="1:11" hidden="1" x14ac:dyDescent="0.2">
      <c r="A40" t="s">
        <v>84</v>
      </c>
      <c r="B40" s="39">
        <f>B32</f>
        <v>116.5</v>
      </c>
      <c r="C40" s="32">
        <f t="shared" ref="C40:I40" si="14">C32-20</f>
        <v>132.17857142857142</v>
      </c>
      <c r="D40" s="32">
        <f t="shared" si="14"/>
        <v>149.67857142857142</v>
      </c>
      <c r="E40" s="32">
        <f t="shared" si="14"/>
        <v>144.53333333333333</v>
      </c>
      <c r="F40" s="32">
        <f t="shared" si="14"/>
        <v>131.39393939393941</v>
      </c>
      <c r="G40" s="32">
        <f t="shared" si="14"/>
        <v>127.52941176470588</v>
      </c>
      <c r="H40" s="32">
        <f t="shared" si="14"/>
        <v>120.44444444444446</v>
      </c>
      <c r="I40" s="33">
        <f t="shared" si="14"/>
        <v>114.10526315789474</v>
      </c>
    </row>
    <row r="41" spans="1:11" hidden="1" x14ac:dyDescent="0.2">
      <c r="B41" s="40">
        <f>B35</f>
        <v>292.2</v>
      </c>
      <c r="C41" s="36">
        <f t="shared" ref="C41:I41" si="15">C35-20</f>
        <v>307.87857142857138</v>
      </c>
      <c r="D41" s="36">
        <f t="shared" si="15"/>
        <v>334.17857142857144</v>
      </c>
      <c r="E41" s="36">
        <f t="shared" si="15"/>
        <v>329.0333333333333</v>
      </c>
      <c r="F41" s="36">
        <f t="shared" si="15"/>
        <v>315.89393939393938</v>
      </c>
      <c r="G41" s="36">
        <f t="shared" si="15"/>
        <v>312.02941176470586</v>
      </c>
      <c r="H41" s="36">
        <f t="shared" si="15"/>
        <v>304.94444444444446</v>
      </c>
      <c r="I41" s="37">
        <f t="shared" si="15"/>
        <v>298.60526315789474</v>
      </c>
    </row>
    <row r="42" spans="1:11" hidden="1" x14ac:dyDescent="0.2">
      <c r="A42" s="38" t="s">
        <v>85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zoomScale="120" zoomScaleNormal="120" workbookViewId="0">
      <selection activeCell="F5" sqref="F5"/>
    </sheetView>
  </sheetViews>
  <sheetFormatPr baseColWidth="10" defaultColWidth="11.5" defaultRowHeight="15" x14ac:dyDescent="0.2"/>
  <cols>
    <col min="1" max="1" width="26.6640625" customWidth="1"/>
    <col min="2" max="2" width="23.33203125" customWidth="1"/>
    <col min="3" max="3" width="23.6640625" customWidth="1"/>
    <col min="4" max="4" width="33.5" customWidth="1"/>
    <col min="5" max="5" width="21.5" customWidth="1"/>
    <col min="6" max="6" width="42.5" customWidth="1"/>
    <col min="7" max="7" width="19.5" customWidth="1"/>
  </cols>
  <sheetData>
    <row r="1" spans="1:10" x14ac:dyDescent="0.2">
      <c r="D1" s="41"/>
      <c r="E1" s="41"/>
    </row>
    <row r="2" spans="1:10" s="5" customFormat="1" ht="16" x14ac:dyDescent="0.2">
      <c r="A2" s="42" t="s">
        <v>2</v>
      </c>
      <c r="B2" s="43" t="s">
        <v>86</v>
      </c>
      <c r="C2" s="43" t="s">
        <v>87</v>
      </c>
      <c r="D2" s="44" t="s">
        <v>88</v>
      </c>
      <c r="E2" s="45" t="s">
        <v>89</v>
      </c>
      <c r="F2" s="46" t="s">
        <v>90</v>
      </c>
      <c r="G2" s="47" t="s">
        <v>53</v>
      </c>
    </row>
    <row r="3" spans="1:10" ht="16" x14ac:dyDescent="0.2">
      <c r="A3" s="48" t="s">
        <v>48</v>
      </c>
      <c r="B3">
        <f>'Ne Pas transmettre  Tranches '!C50</f>
        <v>3</v>
      </c>
      <c r="C3" s="49">
        <v>-0.6</v>
      </c>
      <c r="D3" s="50">
        <f>ROUNDUP(G$15*(1+C3),0)</f>
        <v>71</v>
      </c>
      <c r="E3" s="51">
        <f>B3*D3</f>
        <v>213</v>
      </c>
      <c r="F3" s="52">
        <f>Tableau12[[#This Row],[Montant tranche Affiliés]]+B$15</f>
        <v>255.5</v>
      </c>
      <c r="G3" s="51">
        <f>Tableau12[[#This Row],[Nb de FF et SS]]*Tableau12[[#This Row],[Cotisation Globale]]</f>
        <v>766.5</v>
      </c>
      <c r="I3" s="53"/>
      <c r="J3" s="53"/>
    </row>
    <row r="4" spans="1:10" ht="16" x14ac:dyDescent="0.2">
      <c r="A4" s="48" t="s">
        <v>49</v>
      </c>
      <c r="B4">
        <f>'Ne Pas transmettre  Tranches '!C51</f>
        <v>4</v>
      </c>
      <c r="C4" s="49">
        <v>-0.3</v>
      </c>
      <c r="D4" s="50">
        <f>ROUNDUP(G$15*(1+C4),0)</f>
        <v>123</v>
      </c>
      <c r="E4" s="51">
        <f>B4*D4</f>
        <v>492</v>
      </c>
      <c r="F4" s="52">
        <f>Tableau12[[#This Row],[Montant tranche Affiliés]]+B$15</f>
        <v>307.5</v>
      </c>
      <c r="G4" s="51">
        <f>Tableau12[[#This Row],[Nb de FF et SS]]*Tableau12[[#This Row],[Cotisation Globale]]</f>
        <v>1230</v>
      </c>
      <c r="I4" s="53"/>
      <c r="J4" s="53"/>
    </row>
    <row r="5" spans="1:10" ht="16" x14ac:dyDescent="0.2">
      <c r="A5" s="48" t="s">
        <v>50</v>
      </c>
      <c r="B5">
        <f>'Ne Pas transmettre  Tranches '!C52</f>
        <v>15</v>
      </c>
      <c r="C5">
        <v>0</v>
      </c>
      <c r="D5" s="50">
        <f>ROUNDUP(G$15*(1+C5),0)</f>
        <v>176</v>
      </c>
      <c r="E5" s="51">
        <f>B5*D5</f>
        <v>2640</v>
      </c>
      <c r="F5" s="52">
        <f>Tableau12[[#This Row],[Montant tranche Affiliés]]+B$15</f>
        <v>360.5</v>
      </c>
      <c r="G5" s="51">
        <f>Tableau12[[#This Row],[Nb de FF et SS]]*Tableau12[[#This Row],[Cotisation Globale]]</f>
        <v>5407.5</v>
      </c>
      <c r="I5" s="53"/>
      <c r="J5" s="53"/>
    </row>
    <row r="6" spans="1:10" ht="16" x14ac:dyDescent="0.2">
      <c r="A6" s="48" t="s">
        <v>51</v>
      </c>
      <c r="B6">
        <f>'Ne Pas transmettre  Tranches '!C53</f>
        <v>5</v>
      </c>
      <c r="C6" s="49">
        <v>0.3</v>
      </c>
      <c r="D6" s="50">
        <f>ROUNDUP(G$15*(1+C6),0)</f>
        <v>228</v>
      </c>
      <c r="E6" s="51">
        <f>B6*D6</f>
        <v>1140</v>
      </c>
      <c r="F6" s="52">
        <f>Tableau12[[#This Row],[Montant tranche Affiliés]]+B$15</f>
        <v>412.5</v>
      </c>
      <c r="G6" s="51">
        <f>Tableau12[[#This Row],[Nb de FF et SS]]*Tableau12[[#This Row],[Cotisation Globale]]</f>
        <v>2062.5</v>
      </c>
      <c r="I6" s="53"/>
      <c r="J6" s="53"/>
    </row>
    <row r="7" spans="1:10" ht="16" x14ac:dyDescent="0.2">
      <c r="A7" s="48" t="s">
        <v>52</v>
      </c>
      <c r="B7">
        <f>'Ne Pas transmettre  Tranches '!C54</f>
        <v>1</v>
      </c>
      <c r="C7" s="49">
        <v>0.6</v>
      </c>
      <c r="D7" s="50">
        <f>ROUNDUP(G$15*(1+C7),0)</f>
        <v>281</v>
      </c>
      <c r="E7" s="51">
        <f>B7*D7</f>
        <v>281</v>
      </c>
      <c r="F7" s="52">
        <f>Tableau12[[#This Row],[Montant tranche Affiliés]]+B$15</f>
        <v>465.5</v>
      </c>
      <c r="G7" s="51">
        <f>Tableau12[[#This Row],[Nb de FF et SS]]*Tableau12[[#This Row],[Cotisation Globale]]</f>
        <v>465.5</v>
      </c>
      <c r="I7" s="53"/>
      <c r="J7" s="53"/>
    </row>
    <row r="8" spans="1:10" ht="16" x14ac:dyDescent="0.2">
      <c r="A8" s="42" t="s">
        <v>53</v>
      </c>
      <c r="B8" s="47">
        <f>SUM(B3:B7)</f>
        <v>28</v>
      </c>
      <c r="C8" s="48"/>
      <c r="D8" s="54"/>
      <c r="E8" s="55">
        <f>SUM(E3:E7)</f>
        <v>4766</v>
      </c>
      <c r="F8" s="54"/>
      <c r="G8" s="55">
        <f>SUM(G3:G7)</f>
        <v>9932</v>
      </c>
      <c r="I8" s="41"/>
    </row>
    <row r="9" spans="1:10" x14ac:dyDescent="0.2">
      <c r="D9" s="41"/>
      <c r="E9" s="41"/>
    </row>
    <row r="10" spans="1:10" ht="16" x14ac:dyDescent="0.2">
      <c r="A10" s="56" t="s">
        <v>91</v>
      </c>
      <c r="B10" s="57">
        <f>'Ne Pas transmettre  Tranches '!D57</f>
        <v>5</v>
      </c>
      <c r="D10" s="41" t="s">
        <v>158</v>
      </c>
      <c r="E10" s="41"/>
      <c r="F10" t="s">
        <v>157</v>
      </c>
    </row>
    <row r="11" spans="1:10" ht="16" x14ac:dyDescent="0.2">
      <c r="A11" s="58"/>
      <c r="D11" s="41"/>
      <c r="E11" s="41"/>
      <c r="F11" s="41"/>
      <c r="G11" s="41"/>
    </row>
    <row r="12" spans="1:10" ht="16" x14ac:dyDescent="0.2">
      <c r="A12" s="48"/>
      <c r="B12" s="48"/>
      <c r="C12" s="48"/>
      <c r="D12" s="54"/>
      <c r="E12" s="54"/>
    </row>
    <row r="14" spans="1:10" ht="16" x14ac:dyDescent="0.2">
      <c r="C14" s="58" t="s">
        <v>92</v>
      </c>
      <c r="D14" s="59">
        <f>'Budget  Previsionnel'!D23</f>
        <v>8994.5</v>
      </c>
      <c r="F14" s="58" t="s">
        <v>93</v>
      </c>
      <c r="G14" s="58"/>
    </row>
    <row r="15" spans="1:10" ht="16" x14ac:dyDescent="0.2">
      <c r="A15" s="48" t="s">
        <v>94</v>
      </c>
      <c r="B15" s="60">
        <f>'Budget  Previsionnel'!D33+'Budget  Previsionnel'!D34</f>
        <v>184.5</v>
      </c>
      <c r="C15" s="48" t="s">
        <v>95</v>
      </c>
      <c r="D15" s="61">
        <f>D14-B15*(B8-B10)</f>
        <v>4751</v>
      </c>
      <c r="F15" s="1" t="s">
        <v>96</v>
      </c>
      <c r="G15" s="62">
        <f>D15/(B3*(1+C3)+B4*(1+C4)+B5*(1+C5)+B6*(1+C6)+B7*(1+C7))</f>
        <v>175.31365313653134</v>
      </c>
      <c r="I15" t="s">
        <v>155</v>
      </c>
    </row>
    <row r="16" spans="1:10" ht="16" x14ac:dyDescent="0.2">
      <c r="A16" s="63" t="s">
        <v>97</v>
      </c>
      <c r="B16" s="63"/>
      <c r="C16" s="63" t="s">
        <v>98</v>
      </c>
      <c r="D16" s="60"/>
    </row>
    <row r="17" spans="1:7" ht="16" x14ac:dyDescent="0.2">
      <c r="A17" t="s">
        <v>164</v>
      </c>
      <c r="D17" t="s">
        <v>156</v>
      </c>
      <c r="F17" s="48" t="s">
        <v>99</v>
      </c>
      <c r="G17" s="60">
        <f>D15/B8</f>
        <v>169.67857142857142</v>
      </c>
    </row>
    <row r="20" spans="1:7" x14ac:dyDescent="0.2">
      <c r="B20" s="53"/>
    </row>
    <row r="21" spans="1:7" x14ac:dyDescent="0.2">
      <c r="C21" s="53"/>
    </row>
    <row r="23" spans="1:7" x14ac:dyDescent="0.2">
      <c r="D23" s="64">
        <f>D14-7579</f>
        <v>1415.5</v>
      </c>
    </row>
  </sheetData>
  <pageMargins left="0.7" right="0.7" top="0.75" bottom="0.75" header="0.3" footer="0.3"/>
  <pageSetup paperSize="9" scale="54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13"/>
  <sheetViews>
    <sheetView zoomScale="89" zoomScaleNormal="89" workbookViewId="0"/>
  </sheetViews>
  <sheetFormatPr baseColWidth="10" defaultColWidth="11.5" defaultRowHeight="15" x14ac:dyDescent="0.2"/>
  <cols>
    <col min="1" max="1" width="46.33203125" customWidth="1"/>
    <col min="2" max="2" width="21" customWidth="1"/>
    <col min="3" max="3" width="21.83203125" customWidth="1"/>
  </cols>
  <sheetData>
    <row r="4" spans="1:3" ht="19" x14ac:dyDescent="0.25">
      <c r="A4" s="65" t="s">
        <v>100</v>
      </c>
      <c r="B4" s="65" t="s">
        <v>101</v>
      </c>
      <c r="C4" s="65" t="s">
        <v>102</v>
      </c>
    </row>
    <row r="5" spans="1:3" ht="19" x14ac:dyDescent="0.25">
      <c r="A5" s="66" t="s">
        <v>103</v>
      </c>
      <c r="B5" s="66" t="s">
        <v>104</v>
      </c>
      <c r="C5" s="66">
        <v>1</v>
      </c>
    </row>
    <row r="6" spans="1:3" ht="19" x14ac:dyDescent="0.25">
      <c r="A6" s="66" t="s">
        <v>105</v>
      </c>
      <c r="B6" s="66" t="s">
        <v>106</v>
      </c>
      <c r="C6" s="66">
        <v>2</v>
      </c>
    </row>
    <row r="7" spans="1:3" ht="19" x14ac:dyDescent="0.25">
      <c r="A7" s="66" t="s">
        <v>107</v>
      </c>
      <c r="B7" s="66" t="s">
        <v>108</v>
      </c>
      <c r="C7" s="66">
        <v>3</v>
      </c>
    </row>
    <row r="8" spans="1:3" ht="19" x14ac:dyDescent="0.25">
      <c r="A8" s="66" t="s">
        <v>109</v>
      </c>
      <c r="B8" s="66" t="s">
        <v>110</v>
      </c>
      <c r="C8" s="66">
        <v>4</v>
      </c>
    </row>
    <row r="9" spans="1:3" ht="19" x14ac:dyDescent="0.25">
      <c r="A9" s="66" t="s">
        <v>111</v>
      </c>
      <c r="B9" s="66" t="s">
        <v>112</v>
      </c>
      <c r="C9" s="66">
        <v>5</v>
      </c>
    </row>
    <row r="13" spans="1:3" x14ac:dyDescent="0.2">
      <c r="A13" t="s">
        <v>113</v>
      </c>
      <c r="B13" s="67" t="s">
        <v>114</v>
      </c>
    </row>
  </sheetData>
  <hyperlinks>
    <hyperlink ref="B13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zoomScale="89" zoomScaleNormal="89" workbookViewId="0">
      <selection activeCell="L30" sqref="L30"/>
    </sheetView>
  </sheetViews>
  <sheetFormatPr baseColWidth="10" defaultColWidth="10.6640625" defaultRowHeight="15" x14ac:dyDescent="0.2"/>
  <cols>
    <col min="1" max="1" width="31.83203125" customWidth="1"/>
  </cols>
  <sheetData>
    <row r="1" spans="1:4" x14ac:dyDescent="0.2">
      <c r="A1" t="s">
        <v>115</v>
      </c>
      <c r="D1" s="60">
        <f>SUM(D3:D20)</f>
        <v>8178.78</v>
      </c>
    </row>
    <row r="2" spans="1:4" x14ac:dyDescent="0.2">
      <c r="A2" t="s">
        <v>116</v>
      </c>
      <c r="B2" t="s">
        <v>117</v>
      </c>
      <c r="C2" t="s">
        <v>118</v>
      </c>
      <c r="D2" t="s">
        <v>53</v>
      </c>
    </row>
    <row r="3" spans="1:4" x14ac:dyDescent="0.2">
      <c r="A3" t="s">
        <v>119</v>
      </c>
      <c r="B3" s="60">
        <v>100</v>
      </c>
      <c r="C3">
        <v>20</v>
      </c>
      <c r="D3" s="60">
        <f t="shared" ref="D3:D11" si="0">B3*C3</f>
        <v>2000</v>
      </c>
    </row>
    <row r="4" spans="1:4" x14ac:dyDescent="0.2">
      <c r="A4" t="s">
        <v>120</v>
      </c>
      <c r="B4" s="60">
        <v>100</v>
      </c>
      <c r="C4">
        <v>3</v>
      </c>
      <c r="D4" s="60">
        <f t="shared" si="0"/>
        <v>300</v>
      </c>
    </row>
    <row r="5" spans="1:4" x14ac:dyDescent="0.2">
      <c r="A5" t="s">
        <v>59</v>
      </c>
      <c r="B5" s="60"/>
      <c r="D5" s="60">
        <f t="shared" si="0"/>
        <v>0</v>
      </c>
    </row>
    <row r="6" spans="1:4" x14ac:dyDescent="0.2">
      <c r="A6" t="s">
        <v>61</v>
      </c>
      <c r="B6" s="60">
        <v>30</v>
      </c>
      <c r="C6">
        <v>1</v>
      </c>
      <c r="D6" s="60">
        <f t="shared" si="0"/>
        <v>30</v>
      </c>
    </row>
    <row r="7" spans="1:4" x14ac:dyDescent="0.2">
      <c r="A7" t="s">
        <v>62</v>
      </c>
      <c r="B7" s="60">
        <v>500</v>
      </c>
      <c r="C7">
        <v>1</v>
      </c>
      <c r="D7" s="60">
        <f t="shared" si="0"/>
        <v>500</v>
      </c>
    </row>
    <row r="8" spans="1:4" x14ac:dyDescent="0.2">
      <c r="A8" t="s">
        <v>63</v>
      </c>
      <c r="B8" s="60">
        <f>190+25+25+80+80</f>
        <v>400</v>
      </c>
      <c r="C8">
        <v>1</v>
      </c>
      <c r="D8" s="60">
        <f t="shared" si="0"/>
        <v>400</v>
      </c>
    </row>
    <row r="9" spans="1:4" x14ac:dyDescent="0.2">
      <c r="A9" t="s">
        <v>64</v>
      </c>
      <c r="B9" s="60">
        <v>30</v>
      </c>
      <c r="C9">
        <v>1</v>
      </c>
      <c r="D9" s="60">
        <f t="shared" si="0"/>
        <v>30</v>
      </c>
    </row>
    <row r="10" spans="1:4" x14ac:dyDescent="0.2">
      <c r="A10" t="s">
        <v>65</v>
      </c>
      <c r="B10" s="60">
        <v>100</v>
      </c>
      <c r="C10">
        <v>1</v>
      </c>
      <c r="D10" s="60">
        <f t="shared" si="0"/>
        <v>100</v>
      </c>
    </row>
    <row r="11" spans="1:4" x14ac:dyDescent="0.2">
      <c r="A11" t="s">
        <v>66</v>
      </c>
      <c r="B11" s="60">
        <v>9.09</v>
      </c>
      <c r="C11">
        <v>12</v>
      </c>
      <c r="D11" s="60">
        <f t="shared" si="0"/>
        <v>109.08</v>
      </c>
    </row>
    <row r="12" spans="1:4" x14ac:dyDescent="0.2">
      <c r="A12" t="s">
        <v>67</v>
      </c>
      <c r="B12" s="60"/>
      <c r="D12" s="60">
        <v>320</v>
      </c>
    </row>
    <row r="13" spans="1:4" x14ac:dyDescent="0.2">
      <c r="A13" t="s">
        <v>68</v>
      </c>
      <c r="B13" s="60">
        <v>20</v>
      </c>
      <c r="C13">
        <v>27</v>
      </c>
      <c r="D13" s="60">
        <f>B13*C13</f>
        <v>540</v>
      </c>
    </row>
    <row r="14" spans="1:4" x14ac:dyDescent="0.2">
      <c r="A14" t="s">
        <v>121</v>
      </c>
      <c r="B14" s="60">
        <v>40</v>
      </c>
      <c r="C14">
        <v>4</v>
      </c>
      <c r="D14" s="60">
        <f>B14*C14</f>
        <v>160</v>
      </c>
    </row>
    <row r="15" spans="1:4" x14ac:dyDescent="0.2">
      <c r="B15" s="60"/>
      <c r="D15" s="60"/>
    </row>
    <row r="18" spans="1:4" x14ac:dyDescent="0.2">
      <c r="A18" t="s">
        <v>122</v>
      </c>
      <c r="B18">
        <v>171.7</v>
      </c>
      <c r="D18">
        <f>B21*B18</f>
        <v>3605.7</v>
      </c>
    </row>
    <row r="19" spans="1:4" x14ac:dyDescent="0.2">
      <c r="A19" t="s">
        <v>123</v>
      </c>
      <c r="B19">
        <v>4</v>
      </c>
      <c r="D19">
        <f>B21*B19</f>
        <v>84</v>
      </c>
    </row>
    <row r="20" spans="1:4" x14ac:dyDescent="0.2">
      <c r="A20" t="s">
        <v>91</v>
      </c>
      <c r="B20">
        <v>6</v>
      </c>
    </row>
    <row r="21" spans="1:4" x14ac:dyDescent="0.2">
      <c r="A21" t="s">
        <v>124</v>
      </c>
      <c r="B21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Ne Pas transmettre  Tranches </vt:lpstr>
      <vt:lpstr>Budget  Previsionnel</vt:lpstr>
      <vt:lpstr>Outil de Calcul</vt:lpstr>
      <vt:lpstr>Tranche</vt:lpstr>
      <vt:lpstr>Feuil1</vt:lpstr>
      <vt:lpstr>'Ne Pas transmettre  Tranches '!Zone_d_impression</vt:lpstr>
      <vt:lpstr>'Outil de Calcul'!Zone_d_impression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Dominique GUERNE</dc:creator>
  <dc:description/>
  <cp:lastModifiedBy>AUER Francois-Regis</cp:lastModifiedBy>
  <cp:revision>7</cp:revision>
  <cp:lastPrinted>2023-12-23T15:53:08Z</cp:lastPrinted>
  <dcterms:created xsi:type="dcterms:W3CDTF">2022-06-06T13:41:39Z</dcterms:created>
  <dcterms:modified xsi:type="dcterms:W3CDTF">2024-12-31T07:50:46Z</dcterms:modified>
  <dc:language>fr-FR</dc:language>
</cp:coreProperties>
</file>