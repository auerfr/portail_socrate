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theme/theme1.xml" ContentType="application/vnd.openxmlformats-officedocument.them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euil2" sheetId="1" state="visible" r:id="rId3"/>
    <sheet name="Feuil1" sheetId="2" state="visible" r:id="rId4"/>
  </sheets>
  <definedNames>
    <definedName function="false" hidden="true" localSheetId="1" name="_xlnm._FilterDatabase" vbProcedure="false">Feuil1!$A$1:$F$102</definedName>
    <definedName function="false" hidden="false" name="_xlchart.v1.0" vbProcedure="false">Feuil1!$C$2:$C$100</definedName>
    <definedName function="false" hidden="false" name="_xlchart.v1.1" vbProcedure="false">Feuil1!$E$1</definedName>
    <definedName function="false" hidden="false" name="_xlchart.v1.2" vbProcedure="false">Feuil1!$E$2:$E$100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<sst xmlns="http://schemas.openxmlformats.org/spreadsheetml/2006/main" count="254" uniqueCount="131">
  <si>
    <t xml:space="preserve">Années</t>
  </si>
  <si>
    <t xml:space="preserve">- tout -</t>
  </si>
  <si>
    <t xml:space="preserve">Trimestres</t>
  </si>
  <si>
    <t xml:space="preserve">Données</t>
  </si>
  <si>
    <t xml:space="preserve">Row Labels</t>
  </si>
  <si>
    <t xml:space="preserve">Somme de Credit</t>
  </si>
  <si>
    <t xml:space="preserve">Somme de Debit</t>
  </si>
  <si>
    <t xml:space="preserve">Banquet</t>
  </si>
  <si>
    <t xml:space="preserve">CAALA</t>
  </si>
  <si>
    <t xml:space="preserve">convent</t>
  </si>
  <si>
    <t xml:space="preserve">Cotisation</t>
  </si>
  <si>
    <t xml:space="preserve">Frais Bancaires</t>
  </si>
  <si>
    <t xml:space="preserve">GODF</t>
  </si>
  <si>
    <t xml:space="preserve">Internet Mail Domaine</t>
  </si>
  <si>
    <t xml:space="preserve">Location</t>
  </si>
  <si>
    <t xml:space="preserve">Materiel</t>
  </si>
  <si>
    <t xml:space="preserve">Medaille</t>
  </si>
  <si>
    <t xml:space="preserve">TDV</t>
  </si>
  <si>
    <t xml:space="preserve">Total Résultat</t>
  </si>
  <si>
    <t xml:space="preserve">Date</t>
  </si>
  <si>
    <t xml:space="preserve">Designation</t>
  </si>
  <si>
    <t xml:space="preserve">Categorie</t>
  </si>
  <si>
    <t xml:space="preserve">Debit</t>
  </si>
  <si>
    <t xml:space="preserve">Credit</t>
  </si>
  <si>
    <t xml:space="preserve">Solde</t>
  </si>
  <si>
    <t xml:space="preserve">Avance capitation Alain F</t>
  </si>
  <si>
    <t xml:space="preserve">Avance capitation Jean Luc D et Claire C</t>
  </si>
  <si>
    <t xml:space="preserve">Avance Capitation Nicolas D</t>
  </si>
  <si>
    <t xml:space="preserve">Avance Capitation Ariane T</t>
  </si>
  <si>
    <t xml:space="preserve">Avance Capitation Gregory R</t>
  </si>
  <si>
    <t xml:space="preserve">Avance Capitation jean Marc I</t>
  </si>
  <si>
    <t xml:space="preserve">Avance Capitation Valerie S</t>
  </si>
  <si>
    <t xml:space="preserve">Avance capitation Claire Ch</t>
  </si>
  <si>
    <t xml:space="preserve">Avance Capitation jean Calude P</t>
  </si>
  <si>
    <t xml:space="preserve">Avance capitation Christian L</t>
  </si>
  <si>
    <t xml:space="preserve">Cotisation Adispo Asso Classique</t>
  </si>
  <si>
    <t xml:space="preserve">Avance capitation Patric B </t>
  </si>
  <si>
    <t xml:space="preserve">Avance capitation Dominique G</t>
  </si>
  <si>
    <t xml:space="preserve">Avance capitation Cedric L</t>
  </si>
  <si>
    <t xml:space="preserve">Avance Capitation Thomas K</t>
  </si>
  <si>
    <t xml:space="preserve">Avance Capitation Dominique R</t>
  </si>
  <si>
    <t xml:space="preserve">Avance Capitation Francois Regis A</t>
  </si>
  <si>
    <t xml:space="preserve">Weezevent virement</t>
  </si>
  <si>
    <t xml:space="preserve">Avance capitation Christophe B</t>
  </si>
  <si>
    <t xml:space="preserve">Harmonie Esperance</t>
  </si>
  <si>
    <t xml:space="preserve">Avance capitation Florence C</t>
  </si>
  <si>
    <t xml:space="preserve">Amis de Regle et l'infini</t>
  </si>
  <si>
    <t xml:space="preserve">Avance cotisation JP Del Vecchio</t>
  </si>
  <si>
    <t xml:space="preserve">Ariane</t>
  </si>
  <si>
    <t xml:space="preserve">Noble Amitié</t>
  </si>
  <si>
    <t xml:space="preserve">Martine Crane Banquet</t>
  </si>
  <si>
    <t xml:space="preserve">Didier Rizzo Banquet</t>
  </si>
  <si>
    <t xml:space="preserve">Avance capitation Alain C</t>
  </si>
  <si>
    <t xml:space="preserve">Avance capitation Gilles D</t>
  </si>
  <si>
    <t xml:space="preserve">Horwitz Marc Banquet</t>
  </si>
  <si>
    <t xml:space="preserve">banquet</t>
  </si>
  <si>
    <t xml:space="preserve">Cedric L pour Paul Bestien Banquet</t>
  </si>
  <si>
    <t xml:space="preserve">Dominique G pour 2 repas banquets</t>
  </si>
  <si>
    <t xml:space="preserve">Medaille Saint Antoine et des Amis Réunis</t>
  </si>
  <si>
    <t xml:space="preserve">Frederic Sarroch Banquet</t>
  </si>
  <si>
    <t xml:space="preserve">Nicolas dupont banquet</t>
  </si>
  <si>
    <t xml:space="preserve">Cheque catherine Agapes</t>
  </si>
  <si>
    <t xml:space="preserve">Rbst Michele Pierson</t>
  </si>
  <si>
    <t xml:space="preserve">Rbst JM Mithouard</t>
  </si>
  <si>
    <t xml:space="preserve">Rbst Ariane T Pixarprinting</t>
  </si>
  <si>
    <t xml:space="preserve">Cotisation Ariane</t>
  </si>
  <si>
    <t xml:space="preserve">Nicolas</t>
  </si>
  <si>
    <t xml:space="preserve">Double Union medaille</t>
  </si>
  <si>
    <t xml:space="preserve">JLD</t>
  </si>
  <si>
    <t xml:space="preserve">Remise de cheques</t>
  </si>
  <si>
    <t xml:space="preserve">Asso Philosophique Loge Paris</t>
  </si>
  <si>
    <t xml:space="preserve">Solde cotisation Nicolas D</t>
  </si>
  <si>
    <t xml:space="preserve">Claire c</t>
  </si>
  <si>
    <t xml:space="preserve">Paiement 1er Trim GODF</t>
  </si>
  <si>
    <t xml:space="preserve">Solde cotisation JL D</t>
  </si>
  <si>
    <t xml:space="preserve">Christophe B</t>
  </si>
  <si>
    <t xml:space="preserve">Solde Cotisation Claire C</t>
  </si>
  <si>
    <t xml:space="preserve">Amour et Liberté Medaille</t>
  </si>
  <si>
    <t xml:space="preserve">Valerie S</t>
  </si>
  <si>
    <t xml:space="preserve">Solde Cotisation Christophe B</t>
  </si>
  <si>
    <t xml:space="preserve">jean Marc I </t>
  </si>
  <si>
    <t xml:space="preserve">Paiement Location Devilly</t>
  </si>
  <si>
    <t xml:space="preserve">Remsie cheques</t>
  </si>
  <si>
    <t xml:space="preserve">Solde cotisation Valerie S</t>
  </si>
  <si>
    <t xml:space="preserve">Alain F </t>
  </si>
  <si>
    <t xml:space="preserve">Solde Costiation jean Claude P</t>
  </si>
  <si>
    <t xml:space="preserve">Tristan</t>
  </si>
  <si>
    <t xml:space="preserve">Solde Cotisation Jean Marc I</t>
  </si>
  <si>
    <t xml:space="preserve">Dominique G</t>
  </si>
  <si>
    <t xml:space="preserve">Solde Cotisation Alain F</t>
  </si>
  <si>
    <t xml:space="preserve">Thomas K </t>
  </si>
  <si>
    <t xml:space="preserve">Solde Cotisation Dominique G</t>
  </si>
  <si>
    <t xml:space="preserve">Greg R </t>
  </si>
  <si>
    <t xml:space="preserve">Solde Cotisation Thomas K</t>
  </si>
  <si>
    <t xml:space="preserve">Christian L </t>
  </si>
  <si>
    <t xml:space="preserve">Solde Cotisation Greg R</t>
  </si>
  <si>
    <t xml:space="preserve">Dominique R</t>
  </si>
  <si>
    <t xml:space="preserve">Solde Cotisation Christian L</t>
  </si>
  <si>
    <t xml:space="preserve">Clair Ch</t>
  </si>
  <si>
    <t xml:space="preserve">Solde Cotisation Dominique R</t>
  </si>
  <si>
    <t xml:space="preserve">Cedric L</t>
  </si>
  <si>
    <t xml:space="preserve">Solde Cotisation Claire Ch</t>
  </si>
  <si>
    <t xml:space="preserve">Patrick B</t>
  </si>
  <si>
    <t xml:space="preserve">Cairn et Acacia</t>
  </si>
  <si>
    <t xml:space="preserve">Solde Cotisation Francois Regis A</t>
  </si>
  <si>
    <t xml:space="preserve">Rbst avance GODF FR AUER</t>
  </si>
  <si>
    <t xml:space="preserve">FR AUER</t>
  </si>
  <si>
    <t xml:space="preserve">Vitruve</t>
  </si>
  <si>
    <t xml:space="preserve">Solde Cotisation Cedric L</t>
  </si>
  <si>
    <t xml:space="preserve">Alain C</t>
  </si>
  <si>
    <t xml:space="preserve">Solde Cotisation Patrick B</t>
  </si>
  <si>
    <t xml:space="preserve">Michel D</t>
  </si>
  <si>
    <t xml:space="preserve">Solde cotisation Alain C</t>
  </si>
  <si>
    <t xml:space="preserve">Gilles D</t>
  </si>
  <si>
    <t xml:space="preserve">Solde Cotisation Michel D</t>
  </si>
  <si>
    <t xml:space="preserve">Medailel CAALA</t>
  </si>
  <si>
    <t xml:space="preserve">Solde cotisation Gilles D</t>
  </si>
  <si>
    <t xml:space="preserve">Cheque</t>
  </si>
  <si>
    <t xml:space="preserve">Cheque Cotisation ? </t>
  </si>
  <si>
    <t xml:space="preserve">Paiement 2ème Trimestre</t>
  </si>
  <si>
    <t xml:space="preserve">Paiement Salle Mousson</t>
  </si>
  <si>
    <t xml:space="preserve">Virement Ariane T</t>
  </si>
  <si>
    <t xml:space="preserve">Achat tapis de Loge Comp</t>
  </si>
  <si>
    <t xml:space="preserve">Virement Auer FR </t>
  </si>
  <si>
    <t xml:space="preserve">Paiement 3ème trimestre capitation</t>
  </si>
  <si>
    <t xml:space="preserve">Virement IBBA Jean Marc</t>
  </si>
  <si>
    <t xml:space="preserve">Virement FR AUER</t>
  </si>
  <si>
    <t xml:space="preserve">Solidarité Caala</t>
  </si>
  <si>
    <t xml:space="preserve">Virement tapuis maitre Paemelaire</t>
  </si>
  <si>
    <t xml:space="preserve">virement sur compte Cmutuel </t>
  </si>
  <si>
    <t xml:space="preserve">virement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</si>
</sst>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&quot; €&quot;_-;\-* #,##0.00&quot; €&quot;_-;_-* \-??&quot; €&quot;_-;_-@_-"/>
    <numFmt numFmtId="166" formatCode="mm/yy"/>
    <numFmt numFmtId="167" formatCode="dd/mm/yyyy"/>
    <numFmt numFmtId="168" formatCode="_(\€* #,##0.00_);_(\€* \(#,##0.00\);_(\€* \-??_);_(@_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rgb="FF4A4A4A"/>
      <name val="Arial"/>
      <family val="2"/>
      <charset val="1"/>
    </font>
    <font>
      <sz val="11"/>
      <name val="Calibri"/>
      <family val="1"/>
    </font>
    <font>
      <b val="true"/>
      <sz val="18"/>
      <color rgb="FF000000"/>
      <name val="Calibri"/>
      <family val="2"/>
    </font>
    <font>
      <sz val="9"/>
      <color rgb="FF404040"/>
      <name val="Calibri"/>
      <family val="2"/>
    </font>
    <font>
      <sz val="9"/>
      <color rgb="FF595959"/>
      <name val="Calibri"/>
      <family val="2"/>
    </font>
    <font>
      <sz val="14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hamp de la table dynamique" xfId="20"/>
    <cellStyle name="Coin de la table dynamique" xfId="21"/>
    <cellStyle name="Valeur de la table dynamique" xfId="22"/>
    <cellStyle name="Catégorie de la table dynamique" xfId="23"/>
    <cellStyle name="Titre de la table dynamique" xfId="24"/>
    <cellStyle name="Résultat de la table dynamique" xfId="2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A4A4A"/>
          <bgColor rgb="FF000000"/>
        </patternFill>
      </fill>
    </dxf>
  </dxfs>
  <colors>
    <indexedColors>
      <rgbColor rgb="FF000000"/>
      <rgbColor rgb="FFFFFFFF"/>
      <rgbColor rgb="FFED7D31"/>
      <rgbColor rgb="FF70AD47"/>
      <rgbColor rgb="FF698ED0"/>
      <rgbColor rgb="FFFFCD33"/>
      <rgbColor rgb="FFF2A46F"/>
      <rgbColor rgb="FF8CB9E2"/>
      <rgbColor rgb="FF806000"/>
      <rgbColor rgb="FF43682B"/>
      <rgbColor rgb="FF9AC97B"/>
      <rgbColor rgb="FF997300"/>
      <rgbColor rgb="FF595959"/>
      <rgbColor rgb="FF327DC2"/>
      <rgbColor rgb="FFC0C0C0"/>
      <rgbColor rgb="FF848484"/>
      <rgbColor rgb="FF8FAADC"/>
      <rgbColor rgb="FF9E480E"/>
      <rgbColor rgb="FFFFD966"/>
      <rgbColor rgb="FFADCDEA"/>
      <rgbColor rgb="FF535353"/>
      <rgbColor rgb="FFF1975A"/>
      <rgbColor rgb="FF266399"/>
      <rgbColor rgb="FFD2D2D2"/>
      <rgbColor rgb="FFA9D18E"/>
      <rgbColor rgb="FFB7B7B7"/>
      <rgbColor rgb="FFFFD34D"/>
      <rgbColor rgb="FF7C9CD6"/>
      <rgbColor rgb="FF636363"/>
      <rgbColor rgb="FFB38600"/>
      <rgbColor rgb="FF4E7932"/>
      <rgbColor rgb="FFC9C9C9"/>
      <rgbColor rgb="FF7CAFDD"/>
      <rgbColor rgb="FFB7D8A1"/>
      <rgbColor rgb="FFD9D9D9"/>
      <rgbColor rgb="FFFFDF80"/>
      <rgbColor rgb="FF9DC3E6"/>
      <rgbColor rgb="FFF4B183"/>
      <rgbColor rgb="FFA1B8E1"/>
      <rgbColor rgb="FFF6BE98"/>
      <rgbColor rgb="FF4472C4"/>
      <rgbColor rgb="FF5B9BD5"/>
      <rgbColor rgb="FF8CC168"/>
      <rgbColor rgb="FFFFC000"/>
      <rgbColor rgb="FFCC9A00"/>
      <rgbColor rgb="FFD26012"/>
      <rgbColor rgb="FF737373"/>
      <rgbColor rgb="FFA5A5A5"/>
      <rgbColor rgb="FF30569A"/>
      <rgbColor rgb="FF5A8A39"/>
      <rgbColor rgb="FF4A4A4A"/>
      <rgbColor rgb="FF385623"/>
      <rgbColor rgb="FF843C0B"/>
      <rgbColor rgb="FFB85410"/>
      <rgbColor rgb="FF214173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Debit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82760681207051"/>
          <c:y val="0.0898452246130615"/>
          <c:w val="0.445533313414999"/>
          <c:h val="0.742544356360891"/>
        </c:manualLayout>
      </c:layout>
      <c:doughnutChart>
        <c:varyColors val="1"/>
        <c:ser>
          <c:idx val="0"/>
          <c:order val="0"/>
          <c:tx>
            <c:strRef>
              <c:f>Feuil1!$D$1</c:f>
              <c:strCache>
                <c:ptCount val="1"/>
                <c:pt idx="0">
                  <c:v>Debit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explosion val="7"/>
          <c:dPt>
            <c:idx val="0"/>
            <c:explosion val="7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explosion val="7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explosion val="7"/>
            <c:spPr>
              <a:solidFill>
                <a:srgbClr val="a5a5a5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explosion val="7"/>
            <c:spPr>
              <a:solidFill>
                <a:srgbClr val="ffc00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explosion val="7"/>
            <c:spPr>
              <a:solidFill>
                <a:srgbClr val="5b9bd5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"/>
            <c:explosion val="7"/>
            <c:spPr>
              <a:solidFill>
                <a:srgbClr val="70ad47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"/>
            <c:explosion val="7"/>
            <c:spPr>
              <a:solidFill>
                <a:srgbClr val="264478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"/>
            <c:explosion val="7"/>
            <c:spPr>
              <a:solidFill>
                <a:srgbClr val="9e480e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8"/>
            <c:explosion val="7"/>
            <c:spPr>
              <a:solidFill>
                <a:srgbClr val="636363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9"/>
            <c:explosion val="7"/>
            <c:spPr>
              <a:solidFill>
                <a:srgbClr val="99730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0"/>
            <c:explosion val="7"/>
            <c:spPr>
              <a:solidFill>
                <a:srgbClr val="255e91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1"/>
            <c:explosion val="7"/>
            <c:spPr>
              <a:solidFill>
                <a:srgbClr val="43682b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2"/>
            <c:explosion val="7"/>
            <c:spPr>
              <a:solidFill>
                <a:srgbClr val="698ed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3"/>
            <c:explosion val="7"/>
            <c:spPr>
              <a:solidFill>
                <a:srgbClr val="f1975a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4"/>
            <c:explosion val="7"/>
            <c:spPr>
              <a:solidFill>
                <a:srgbClr val="b7b7b7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5"/>
            <c:explosion val="7"/>
            <c:spPr>
              <a:solidFill>
                <a:srgbClr val="ffcd33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6"/>
            <c:explosion val="7"/>
            <c:spPr>
              <a:solidFill>
                <a:srgbClr val="7cafd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7"/>
            <c:explosion val="7"/>
            <c:spPr>
              <a:solidFill>
                <a:srgbClr val="8cc168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8"/>
            <c:explosion val="7"/>
            <c:spPr>
              <a:solidFill>
                <a:srgbClr val="335aa1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9"/>
            <c:explosion val="7"/>
            <c:spPr>
              <a:solidFill>
                <a:srgbClr val="d2601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0"/>
            <c:explosion val="7"/>
            <c:spPr>
              <a:solidFill>
                <a:srgbClr val="84848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1"/>
            <c:explosion val="7"/>
            <c:spPr>
              <a:solidFill>
                <a:srgbClr val="cc9a0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2"/>
            <c:explosion val="7"/>
            <c:spPr>
              <a:solidFill>
                <a:srgbClr val="327dc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3"/>
            <c:explosion val="7"/>
            <c:spPr>
              <a:solidFill>
                <a:srgbClr val="5a8a39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4"/>
            <c:explosion val="7"/>
            <c:spPr>
              <a:solidFill>
                <a:srgbClr val="8faadc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5"/>
            <c:explosion val="7"/>
            <c:spPr>
              <a:solidFill>
                <a:srgbClr val="f4b183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6"/>
            <c:explosion val="7"/>
            <c:spPr>
              <a:solidFill>
                <a:srgbClr val="c9c9c9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7"/>
            <c:explosion val="7"/>
            <c:spPr>
              <a:solidFill>
                <a:srgbClr val="ffd966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8"/>
            <c:explosion val="7"/>
            <c:spPr>
              <a:solidFill>
                <a:srgbClr val="9dc3e6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9"/>
            <c:explosion val="7"/>
            <c:spPr>
              <a:solidFill>
                <a:srgbClr val="a9d18e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0"/>
            <c:explosion val="7"/>
            <c:spPr>
              <a:solidFill>
                <a:srgbClr val="20386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1"/>
            <c:explosion val="7"/>
            <c:spPr>
              <a:solidFill>
                <a:srgbClr val="843c0b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2"/>
            <c:explosion val="7"/>
            <c:spPr>
              <a:solidFill>
                <a:srgbClr val="535353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3"/>
            <c:explosion val="7"/>
            <c:spPr>
              <a:solidFill>
                <a:srgbClr val="80600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4"/>
            <c:explosion val="7"/>
            <c:spPr>
              <a:solidFill>
                <a:srgbClr val="1f4e79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5"/>
            <c:explosion val="7"/>
            <c:spPr>
              <a:solidFill>
                <a:srgbClr val="385623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6"/>
            <c:explosion val="7"/>
            <c:spPr>
              <a:solidFill>
                <a:srgbClr val="7c9cd6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7"/>
            <c:explosion val="7"/>
            <c:spPr>
              <a:solidFill>
                <a:srgbClr val="f2a46f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8"/>
            <c:explosion val="7"/>
            <c:spPr>
              <a:solidFill>
                <a:srgbClr val="c0c0c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9"/>
            <c:explosion val="7"/>
            <c:spPr>
              <a:solidFill>
                <a:srgbClr val="ffd34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0"/>
            <c:explosion val="7"/>
            <c:spPr>
              <a:solidFill>
                <a:srgbClr val="8cb9e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1"/>
            <c:explosion val="7"/>
            <c:spPr>
              <a:solidFill>
                <a:srgbClr val="9ac97b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2"/>
            <c:explosion val="7"/>
            <c:spPr>
              <a:solidFill>
                <a:srgbClr val="2c4f8c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3"/>
            <c:explosion val="7"/>
            <c:spPr>
              <a:solidFill>
                <a:srgbClr val="b8541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4"/>
            <c:explosion val="7"/>
            <c:spPr>
              <a:solidFill>
                <a:srgbClr val="737373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5"/>
            <c:explosion val="7"/>
            <c:spPr>
              <a:solidFill>
                <a:srgbClr val="b3860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6"/>
            <c:explosion val="7"/>
            <c:spPr>
              <a:solidFill>
                <a:srgbClr val="2b6da9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7"/>
            <c:explosion val="7"/>
            <c:spPr>
              <a:solidFill>
                <a:srgbClr val="4e793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8"/>
            <c:explosion val="7"/>
            <c:spPr>
              <a:solidFill>
                <a:srgbClr val="a1b8e1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9"/>
            <c:explosion val="7"/>
            <c:spPr>
              <a:solidFill>
                <a:srgbClr val="f6be98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0"/>
            <c:explosion val="7"/>
            <c:spPr>
              <a:solidFill>
                <a:srgbClr val="d2d2d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1"/>
            <c:explosion val="7"/>
            <c:spPr>
              <a:solidFill>
                <a:srgbClr val="ffdf8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2"/>
            <c:explosion val="7"/>
            <c:spPr>
              <a:solidFill>
                <a:srgbClr val="adcdea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3"/>
            <c:explosion val="7"/>
            <c:spPr>
              <a:solidFill>
                <a:srgbClr val="b7d8a1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4"/>
            <c:explosion val="7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5"/>
            <c:explosion val="7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6"/>
            <c:explosion val="7"/>
            <c:spPr>
              <a:solidFill>
                <a:srgbClr val="a5a5a5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7"/>
            <c:explosion val="7"/>
            <c:spPr>
              <a:solidFill>
                <a:srgbClr val="ffc00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8"/>
            <c:explosion val="7"/>
            <c:spPr>
              <a:solidFill>
                <a:srgbClr val="5b9bd5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9"/>
            <c:explosion val="7"/>
            <c:spPr>
              <a:solidFill>
                <a:srgbClr val="70ad47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0"/>
            <c:explosion val="7"/>
            <c:spPr>
              <a:solidFill>
                <a:srgbClr val="264478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1"/>
            <c:explosion val="7"/>
            <c:spPr>
              <a:solidFill>
                <a:srgbClr val="9e480e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2"/>
            <c:explosion val="7"/>
            <c:spPr>
              <a:solidFill>
                <a:srgbClr val="636363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3"/>
            <c:explosion val="7"/>
            <c:spPr>
              <a:solidFill>
                <a:srgbClr val="99730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4"/>
            <c:explosion val="7"/>
            <c:spPr>
              <a:solidFill>
                <a:srgbClr val="255e91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5"/>
            <c:explosion val="7"/>
            <c:spPr>
              <a:solidFill>
                <a:srgbClr val="43682b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6"/>
            <c:explosion val="7"/>
            <c:spPr>
              <a:solidFill>
                <a:srgbClr val="698ed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7"/>
            <c:explosion val="7"/>
            <c:spPr>
              <a:solidFill>
                <a:srgbClr val="f1975a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8"/>
            <c:explosion val="7"/>
            <c:spPr>
              <a:solidFill>
                <a:srgbClr val="b7b7b7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9"/>
            <c:explosion val="7"/>
            <c:spPr>
              <a:solidFill>
                <a:srgbClr val="ffcd33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0"/>
            <c:explosion val="7"/>
            <c:spPr>
              <a:solidFill>
                <a:srgbClr val="7cafd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1"/>
            <c:explosion val="7"/>
            <c:spPr>
              <a:solidFill>
                <a:srgbClr val="8cc168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2"/>
            <c:explosion val="7"/>
            <c:spPr>
              <a:solidFill>
                <a:srgbClr val="335aa1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3"/>
            <c:explosion val="7"/>
            <c:spPr>
              <a:solidFill>
                <a:srgbClr val="d2601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4"/>
            <c:explosion val="7"/>
            <c:spPr>
              <a:solidFill>
                <a:srgbClr val="84848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5"/>
            <c:explosion val="7"/>
            <c:spPr>
              <a:solidFill>
                <a:srgbClr val="cc9a0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6"/>
            <c:explosion val="7"/>
            <c:spPr>
              <a:solidFill>
                <a:srgbClr val="327dc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7"/>
            <c:explosion val="7"/>
            <c:spPr>
              <a:solidFill>
                <a:srgbClr val="5a8a39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8"/>
            <c:explosion val="7"/>
            <c:spPr>
              <a:solidFill>
                <a:srgbClr val="8faadc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2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3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4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5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6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7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8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9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2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3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4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5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6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7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8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9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2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3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4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5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6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7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8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9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2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3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4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5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6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7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8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9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2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3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4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5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6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7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8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9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2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3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4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5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6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7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8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9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2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3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4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5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6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7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8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Feuil1!$C$2:$C$80</c:f>
              <c:strCache>
                <c:ptCount val="79"/>
                <c:pt idx="0">
                  <c:v>Cotisation</c:v>
                </c:pt>
                <c:pt idx="1">
                  <c:v>Cotisation</c:v>
                </c:pt>
                <c:pt idx="2">
                  <c:v>Cotisation</c:v>
                </c:pt>
                <c:pt idx="3">
                  <c:v>Cotisation</c:v>
                </c:pt>
                <c:pt idx="4">
                  <c:v>Cotisation</c:v>
                </c:pt>
                <c:pt idx="5">
                  <c:v>Cotisation</c:v>
                </c:pt>
                <c:pt idx="6">
                  <c:v>Cotisation</c:v>
                </c:pt>
                <c:pt idx="7">
                  <c:v>Cotisation</c:v>
                </c:pt>
                <c:pt idx="8">
                  <c:v>Cotisation</c:v>
                </c:pt>
                <c:pt idx="9">
                  <c:v>Cotisation</c:v>
                </c:pt>
                <c:pt idx="10">
                  <c:v>Frais Bancaires</c:v>
                </c:pt>
                <c:pt idx="11">
                  <c:v>Cotisation</c:v>
                </c:pt>
                <c:pt idx="12">
                  <c:v>Cotisation</c:v>
                </c:pt>
                <c:pt idx="13">
                  <c:v>Cotisation</c:v>
                </c:pt>
                <c:pt idx="14">
                  <c:v>Cotisation</c:v>
                </c:pt>
                <c:pt idx="15">
                  <c:v>Cotisation</c:v>
                </c:pt>
                <c:pt idx="16">
                  <c:v>Cotisation</c:v>
                </c:pt>
                <c:pt idx="17">
                  <c:v>Banquet</c:v>
                </c:pt>
                <c:pt idx="18">
                  <c:v>Cotisation</c:v>
                </c:pt>
                <c:pt idx="19">
                  <c:v>Medaille</c:v>
                </c:pt>
                <c:pt idx="20">
                  <c:v>Cotisation</c:v>
                </c:pt>
                <c:pt idx="21">
                  <c:v>Medaille</c:v>
                </c:pt>
                <c:pt idx="22">
                  <c:v>Cotisation</c:v>
                </c:pt>
                <c:pt idx="23">
                  <c:v>Medaille</c:v>
                </c:pt>
                <c:pt idx="24">
                  <c:v>Banquet</c:v>
                </c:pt>
                <c:pt idx="25">
                  <c:v>Banquet</c:v>
                </c:pt>
                <c:pt idx="26">
                  <c:v>Cotisation</c:v>
                </c:pt>
                <c:pt idx="27">
                  <c:v>Cotisation</c:v>
                </c:pt>
                <c:pt idx="28">
                  <c:v>banquet</c:v>
                </c:pt>
                <c:pt idx="29">
                  <c:v>Banquet</c:v>
                </c:pt>
                <c:pt idx="30">
                  <c:v>Banquet</c:v>
                </c:pt>
                <c:pt idx="31">
                  <c:v>Medaille</c:v>
                </c:pt>
                <c:pt idx="32">
                  <c:v>Banquet</c:v>
                </c:pt>
                <c:pt idx="33">
                  <c:v>Banquet</c:v>
                </c:pt>
                <c:pt idx="34">
                  <c:v>Banquet</c:v>
                </c:pt>
                <c:pt idx="35">
                  <c:v>Banquet</c:v>
                </c:pt>
                <c:pt idx="36">
                  <c:v>Banquet</c:v>
                </c:pt>
                <c:pt idx="37">
                  <c:v>Banquet</c:v>
                </c:pt>
                <c:pt idx="38">
                  <c:v>Banquet</c:v>
                </c:pt>
                <c:pt idx="39">
                  <c:v>Materiel</c:v>
                </c:pt>
                <c:pt idx="40">
                  <c:v>Cotisation</c:v>
                </c:pt>
                <c:pt idx="41">
                  <c:v>Medaille</c:v>
                </c:pt>
                <c:pt idx="42">
                  <c:v>Frais Bancaires</c:v>
                </c:pt>
                <c:pt idx="43">
                  <c:v>Medaille</c:v>
                </c:pt>
                <c:pt idx="44">
                  <c:v>Medaille</c:v>
                </c:pt>
                <c:pt idx="45">
                  <c:v>Medaille</c:v>
                </c:pt>
                <c:pt idx="46">
                  <c:v>Medaille</c:v>
                </c:pt>
                <c:pt idx="47">
                  <c:v>Cotisation</c:v>
                </c:pt>
                <c:pt idx="48">
                  <c:v>GODF</c:v>
                </c:pt>
                <c:pt idx="49">
                  <c:v>Cotisation</c:v>
                </c:pt>
                <c:pt idx="50">
                  <c:v>Cotisation</c:v>
                </c:pt>
                <c:pt idx="51">
                  <c:v>Medaille</c:v>
                </c:pt>
                <c:pt idx="52">
                  <c:v>Cotisation</c:v>
                </c:pt>
                <c:pt idx="53">
                  <c:v>Location</c:v>
                </c:pt>
                <c:pt idx="54">
                  <c:v>Medaille</c:v>
                </c:pt>
                <c:pt idx="55">
                  <c:v>Cotisation</c:v>
                </c:pt>
                <c:pt idx="56">
                  <c:v>Cotisation</c:v>
                </c:pt>
                <c:pt idx="57">
                  <c:v>Cotisation</c:v>
                </c:pt>
                <c:pt idx="58">
                  <c:v>Cotisation</c:v>
                </c:pt>
                <c:pt idx="59">
                  <c:v>Cotisation</c:v>
                </c:pt>
                <c:pt idx="60">
                  <c:v>Cotisation</c:v>
                </c:pt>
                <c:pt idx="61">
                  <c:v>Cotisation</c:v>
                </c:pt>
                <c:pt idx="62">
                  <c:v>Cotisation</c:v>
                </c:pt>
                <c:pt idx="63">
                  <c:v>Cotisation</c:v>
                </c:pt>
                <c:pt idx="64">
                  <c:v>Cotisation</c:v>
                </c:pt>
                <c:pt idx="65">
                  <c:v>Medaille</c:v>
                </c:pt>
                <c:pt idx="66">
                  <c:v>Cotisation</c:v>
                </c:pt>
                <c:pt idx="67">
                  <c:v>GODF</c:v>
                </c:pt>
                <c:pt idx="68">
                  <c:v>Medaille</c:v>
                </c:pt>
                <c:pt idx="69">
                  <c:v>Cotisation</c:v>
                </c:pt>
                <c:pt idx="70">
                  <c:v>Cotisation</c:v>
                </c:pt>
                <c:pt idx="71">
                  <c:v>Cotisation</c:v>
                </c:pt>
                <c:pt idx="72">
                  <c:v>Cotisation</c:v>
                </c:pt>
                <c:pt idx="73">
                  <c:v>Medaille</c:v>
                </c:pt>
                <c:pt idx="74">
                  <c:v>Cotisation</c:v>
                </c:pt>
                <c:pt idx="75">
                  <c:v>CAALA</c:v>
                </c:pt>
                <c:pt idx="76">
                  <c:v>Frais Bancaires</c:v>
                </c:pt>
                <c:pt idx="77">
                  <c:v>Cotisation</c:v>
                </c:pt>
                <c:pt idx="78">
                  <c:v>GODF</c:v>
                </c:pt>
              </c:strCache>
            </c:strRef>
          </c:cat>
          <c:val>
            <c:numRef>
              <c:f>Feuil1!$D$2:$D$80</c:f>
              <c:numCache>
                <c:formatCode>General</c:formatCode>
                <c:ptCount val="79"/>
                <c:pt idx="10">
                  <c:v>-11.15</c:v>
                </c:pt>
                <c:pt idx="36">
                  <c:v>-3805</c:v>
                </c:pt>
                <c:pt idx="37">
                  <c:v>-25</c:v>
                </c:pt>
                <c:pt idx="38">
                  <c:v>-25</c:v>
                </c:pt>
                <c:pt idx="39">
                  <c:v>-139.58</c:v>
                </c:pt>
                <c:pt idx="42">
                  <c:v>-19.74</c:v>
                </c:pt>
                <c:pt idx="48">
                  <c:v>-1144</c:v>
                </c:pt>
                <c:pt idx="53">
                  <c:v>-100</c:v>
                </c:pt>
                <c:pt idx="67">
                  <c:v>-600</c:v>
                </c:pt>
                <c:pt idx="75">
                  <c:v>-270</c:v>
                </c:pt>
                <c:pt idx="76">
                  <c:v>-19.74</c:v>
                </c:pt>
                <c:pt idx="78">
                  <c:v>-1144</c:v>
                </c:pt>
              </c:numCache>
            </c:numRef>
          </c:val>
        </c:ser>
        <c:firstSliceAng val="116"/>
        <c:holeSize val="50"/>
      </c:doughnutChart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456607611548557"/>
          <c:y val="0.0977981918926801"/>
          <c:w val="0.3197895888014"/>
          <c:h val="0.83738699329250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Solde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Feuil1!$F$1</c:f>
              <c:strCache>
                <c:ptCount val="1"/>
                <c:pt idx="0">
                  <c:v>Solde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Feuil1!$A$2:$A$100</c:f>
              <c:numCache>
                <c:formatCode>m/d/yyyy</c:formatCode>
                <c:ptCount val="99"/>
                <c:pt idx="0">
                  <c:v>23/11/2022</c:v>
                </c:pt>
                <c:pt idx="1">
                  <c:v>23/11/2022</c:v>
                </c:pt>
                <c:pt idx="2">
                  <c:v>24/11/2022</c:v>
                </c:pt>
                <c:pt idx="3">
                  <c:v>25/11/2022</c:v>
                </c:pt>
                <c:pt idx="4">
                  <c:v>25/11/2022</c:v>
                </c:pt>
                <c:pt idx="5">
                  <c:v>25/11/2022</c:v>
                </c:pt>
                <c:pt idx="6">
                  <c:v>28/11/2022</c:v>
                </c:pt>
                <c:pt idx="7">
                  <c:v>28/11/2022</c:v>
                </c:pt>
                <c:pt idx="8">
                  <c:v>28/11/2022</c:v>
                </c:pt>
                <c:pt idx="9">
                  <c:v>28/11/2022</c:v>
                </c:pt>
                <c:pt idx="10">
                  <c:v>28/11/2022</c:v>
                </c:pt>
                <c:pt idx="11">
                  <c:v>29/11/2022</c:v>
                </c:pt>
                <c:pt idx="12">
                  <c:v>29/11/2022</c:v>
                </c:pt>
                <c:pt idx="13">
                  <c:v>29/11/2022</c:v>
                </c:pt>
                <c:pt idx="14">
                  <c:v>29/11/2022</c:v>
                </c:pt>
                <c:pt idx="15">
                  <c:v>30/11/2022</c:v>
                </c:pt>
                <c:pt idx="16">
                  <c:v>30/11/2022</c:v>
                </c:pt>
                <c:pt idx="17">
                  <c:v>05/12/2022</c:v>
                </c:pt>
                <c:pt idx="18">
                  <c:v>05/12/2022</c:v>
                </c:pt>
                <c:pt idx="19">
                  <c:v>05/12/2022</c:v>
                </c:pt>
                <c:pt idx="20">
                  <c:v>08/12/2022</c:v>
                </c:pt>
                <c:pt idx="21">
                  <c:v>08/12/2022</c:v>
                </c:pt>
                <c:pt idx="22">
                  <c:v>09/12/2022</c:v>
                </c:pt>
                <c:pt idx="23">
                  <c:v>09/12/2022</c:v>
                </c:pt>
                <c:pt idx="24">
                  <c:v>12/12/2022</c:v>
                </c:pt>
                <c:pt idx="25">
                  <c:v>12/12/2022</c:v>
                </c:pt>
                <c:pt idx="26">
                  <c:v>12/12/2022</c:v>
                </c:pt>
                <c:pt idx="27">
                  <c:v>12/12/2022</c:v>
                </c:pt>
                <c:pt idx="28">
                  <c:v>14/12/2022</c:v>
                </c:pt>
                <c:pt idx="29">
                  <c:v>19/12/2022</c:v>
                </c:pt>
                <c:pt idx="30">
                  <c:v>19/12/2022</c:v>
                </c:pt>
                <c:pt idx="31">
                  <c:v>19/12/2022</c:v>
                </c:pt>
                <c:pt idx="32">
                  <c:v>20/12/2022</c:v>
                </c:pt>
                <c:pt idx="33">
                  <c:v>21/12/2022</c:v>
                </c:pt>
                <c:pt idx="34">
                  <c:v>22/12/2022</c:v>
                </c:pt>
                <c:pt idx="35">
                  <c:v>22/12/2022</c:v>
                </c:pt>
                <c:pt idx="36">
                  <c:v>22/12/2022</c:v>
                </c:pt>
                <c:pt idx="37">
                  <c:v>23/12/2022</c:v>
                </c:pt>
                <c:pt idx="38">
                  <c:v>23/12/2022</c:v>
                </c:pt>
                <c:pt idx="39">
                  <c:v>27/12/2022</c:v>
                </c:pt>
                <c:pt idx="40">
                  <c:v>03/01/2023</c:v>
                </c:pt>
                <c:pt idx="41">
                  <c:v>09/01/2023</c:v>
                </c:pt>
                <c:pt idx="42">
                  <c:v>17/01/2023</c:v>
                </c:pt>
                <c:pt idx="43">
                  <c:v>18/01/2023</c:v>
                </c:pt>
                <c:pt idx="44">
                  <c:v>18/01/2023</c:v>
                </c:pt>
                <c:pt idx="45">
                  <c:v>18/01/2023</c:v>
                </c:pt>
                <c:pt idx="46">
                  <c:v>19/01/2023</c:v>
                </c:pt>
                <c:pt idx="47">
                  <c:v>30/01/2023</c:v>
                </c:pt>
                <c:pt idx="48">
                  <c:v>30/01/2023</c:v>
                </c:pt>
                <c:pt idx="49">
                  <c:v>06/02/2023</c:v>
                </c:pt>
                <c:pt idx="50">
                  <c:v>06/02/2023</c:v>
                </c:pt>
                <c:pt idx="51">
                  <c:v>06/02/2023</c:v>
                </c:pt>
                <c:pt idx="52">
                  <c:v>07/02/2023</c:v>
                </c:pt>
                <c:pt idx="53">
                  <c:v>07/02/2023</c:v>
                </c:pt>
                <c:pt idx="54">
                  <c:v>08/02/2023</c:v>
                </c:pt>
                <c:pt idx="55">
                  <c:v>09/02/2023</c:v>
                </c:pt>
                <c:pt idx="56">
                  <c:v>09/02/2023</c:v>
                </c:pt>
                <c:pt idx="57">
                  <c:v>09/02/2023</c:v>
                </c:pt>
                <c:pt idx="58">
                  <c:v>09/02/2023</c:v>
                </c:pt>
                <c:pt idx="59">
                  <c:v>10/02/2023</c:v>
                </c:pt>
                <c:pt idx="60">
                  <c:v>10/02/2023</c:v>
                </c:pt>
                <c:pt idx="61">
                  <c:v>10/02/2023</c:v>
                </c:pt>
                <c:pt idx="62">
                  <c:v>10/02/2023</c:v>
                </c:pt>
                <c:pt idx="63">
                  <c:v>10/02/2023</c:v>
                </c:pt>
                <c:pt idx="64">
                  <c:v>13/02/2023</c:v>
                </c:pt>
                <c:pt idx="65">
                  <c:v>14/02/2023</c:v>
                </c:pt>
                <c:pt idx="66">
                  <c:v>20/02/2023</c:v>
                </c:pt>
                <c:pt idx="67">
                  <c:v>20/02/2023</c:v>
                </c:pt>
                <c:pt idx="68">
                  <c:v>20/02/2023</c:v>
                </c:pt>
                <c:pt idx="69">
                  <c:v>01/03/2023</c:v>
                </c:pt>
                <c:pt idx="70">
                  <c:v>06/03/2023</c:v>
                </c:pt>
                <c:pt idx="71">
                  <c:v>07/03/2023</c:v>
                </c:pt>
                <c:pt idx="72">
                  <c:v>21/03/2023</c:v>
                </c:pt>
                <c:pt idx="73">
                  <c:v>28/03/2023</c:v>
                </c:pt>
                <c:pt idx="74">
                  <c:v>11/04/2023</c:v>
                </c:pt>
                <c:pt idx="75">
                  <c:v>17/04/2023</c:v>
                </c:pt>
                <c:pt idx="76">
                  <c:v>18/04/2023</c:v>
                </c:pt>
                <c:pt idx="77">
                  <c:v>25/04/2023</c:v>
                </c:pt>
                <c:pt idx="78">
                  <c:v>26/04/2023</c:v>
                </c:pt>
                <c:pt idx="79">
                  <c:v>26/04/2023</c:v>
                </c:pt>
                <c:pt idx="80">
                  <c:v>16/05/2023</c:v>
                </c:pt>
                <c:pt idx="81">
                  <c:v>16/05/2023</c:v>
                </c:pt>
                <c:pt idx="82">
                  <c:v>17/05/2023</c:v>
                </c:pt>
                <c:pt idx="83">
                  <c:v>24/05/2023</c:v>
                </c:pt>
                <c:pt idx="84">
                  <c:v>24/05/2023</c:v>
                </c:pt>
                <c:pt idx="85">
                  <c:v>05/06/2023</c:v>
                </c:pt>
                <c:pt idx="86">
                  <c:v>05/06/2023</c:v>
                </c:pt>
                <c:pt idx="87">
                  <c:v>16/06/2023</c:v>
                </c:pt>
                <c:pt idx="88">
                  <c:v>20/06/2023</c:v>
                </c:pt>
                <c:pt idx="89">
                  <c:v>22/06/2023</c:v>
                </c:pt>
                <c:pt idx="90">
                  <c:v>06/07/2023</c:v>
                </c:pt>
                <c:pt idx="91">
                  <c:v>18/07/2023</c:v>
                </c:pt>
                <c:pt idx="92">
                  <c:v>04/08/2023</c:v>
                </c:pt>
                <c:pt idx="93">
                  <c:v>23/08/2023</c:v>
                </c:pt>
                <c:pt idx="94">
                  <c:v>04/09/2023</c:v>
                </c:pt>
                <c:pt idx="95">
                  <c:v>20/09/2023</c:v>
                </c:pt>
                <c:pt idx="96">
                  <c:v>26/09/2023</c:v>
                </c:pt>
                <c:pt idx="97">
                  <c:v>13/10/2023</c:v>
                </c:pt>
                <c:pt idx="98">
                  <c:v>17/10/2023</c:v>
                </c:pt>
              </c:numCache>
            </c:numRef>
          </c:cat>
          <c:val>
            <c:numRef>
              <c:f>Feuil1!$F$2:$F$100</c:f>
              <c:numCache>
                <c:formatCode>General</c:formatCode>
                <c:ptCount val="99"/>
                <c:pt idx="0">
                  <c:v>100</c:v>
                </c:pt>
                <c:pt idx="1">
                  <c:v>300</c:v>
                </c:pt>
                <c:pt idx="2">
                  <c:v>400</c:v>
                </c:pt>
                <c:pt idx="3">
                  <c:v>500</c:v>
                </c:pt>
                <c:pt idx="4">
                  <c:v>600</c:v>
                </c:pt>
                <c:pt idx="5">
                  <c:v>700</c:v>
                </c:pt>
                <c:pt idx="6">
                  <c:v>800</c:v>
                </c:pt>
                <c:pt idx="7">
                  <c:v>900</c:v>
                </c:pt>
                <c:pt idx="8">
                  <c:v>1000</c:v>
                </c:pt>
                <c:pt idx="9">
                  <c:v>1100</c:v>
                </c:pt>
                <c:pt idx="10">
                  <c:v>1088.85</c:v>
                </c:pt>
                <c:pt idx="11">
                  <c:v>1188.85</c:v>
                </c:pt>
                <c:pt idx="12">
                  <c:v>1288.85</c:v>
                </c:pt>
                <c:pt idx="13">
                  <c:v>1388.85</c:v>
                </c:pt>
                <c:pt idx="14">
                  <c:v>1488.85</c:v>
                </c:pt>
                <c:pt idx="15">
                  <c:v>1588.85</c:v>
                </c:pt>
                <c:pt idx="16">
                  <c:v>1688.85</c:v>
                </c:pt>
                <c:pt idx="17">
                  <c:v>3633.66</c:v>
                </c:pt>
                <c:pt idx="18">
                  <c:v>3733.66</c:v>
                </c:pt>
                <c:pt idx="19">
                  <c:v>3783.66</c:v>
                </c:pt>
                <c:pt idx="20">
                  <c:v>3883.66</c:v>
                </c:pt>
                <c:pt idx="21">
                  <c:v>3983.66</c:v>
                </c:pt>
                <c:pt idx="22">
                  <c:v>4083.66</c:v>
                </c:pt>
                <c:pt idx="23">
                  <c:v>4383.66</c:v>
                </c:pt>
                <c:pt idx="24">
                  <c:v>4408.66</c:v>
                </c:pt>
                <c:pt idx="25">
                  <c:v>4433.66</c:v>
                </c:pt>
                <c:pt idx="26">
                  <c:v>4533.66</c:v>
                </c:pt>
                <c:pt idx="27">
                  <c:v>4633.66</c:v>
                </c:pt>
                <c:pt idx="28">
                  <c:v>4683.66</c:v>
                </c:pt>
                <c:pt idx="29">
                  <c:v>4708.66</c:v>
                </c:pt>
                <c:pt idx="30">
                  <c:v>4758.66</c:v>
                </c:pt>
                <c:pt idx="31">
                  <c:v>5058.66</c:v>
                </c:pt>
                <c:pt idx="32">
                  <c:v>6091.09</c:v>
                </c:pt>
                <c:pt idx="33">
                  <c:v>6116.09</c:v>
                </c:pt>
                <c:pt idx="34">
                  <c:v>6141.09</c:v>
                </c:pt>
                <c:pt idx="35">
                  <c:v>6216.09</c:v>
                </c:pt>
                <c:pt idx="36">
                  <c:v>2411.09</c:v>
                </c:pt>
                <c:pt idx="37">
                  <c:v>2386.09</c:v>
                </c:pt>
                <c:pt idx="38">
                  <c:v>2361.09</c:v>
                </c:pt>
                <c:pt idx="39">
                  <c:v>2221.51</c:v>
                </c:pt>
                <c:pt idx="40">
                  <c:v>2471.51</c:v>
                </c:pt>
                <c:pt idx="41">
                  <c:v>2671.51</c:v>
                </c:pt>
                <c:pt idx="42">
                  <c:v>2651.77</c:v>
                </c:pt>
                <c:pt idx="43">
                  <c:v>2696.77</c:v>
                </c:pt>
                <c:pt idx="44">
                  <c:v>2796.77</c:v>
                </c:pt>
                <c:pt idx="45">
                  <c:v>3146.77</c:v>
                </c:pt>
                <c:pt idx="46">
                  <c:v>3246.77</c:v>
                </c:pt>
                <c:pt idx="47">
                  <c:v>3400.77</c:v>
                </c:pt>
                <c:pt idx="48">
                  <c:v>2256.77</c:v>
                </c:pt>
                <c:pt idx="49">
                  <c:v>2520.77</c:v>
                </c:pt>
                <c:pt idx="50">
                  <c:v>2867.47</c:v>
                </c:pt>
                <c:pt idx="51">
                  <c:v>3167.47</c:v>
                </c:pt>
                <c:pt idx="52">
                  <c:v>3466.17</c:v>
                </c:pt>
                <c:pt idx="53">
                  <c:v>3366.17</c:v>
                </c:pt>
                <c:pt idx="54">
                  <c:v>3566.17</c:v>
                </c:pt>
                <c:pt idx="55">
                  <c:v>3819.17</c:v>
                </c:pt>
                <c:pt idx="56">
                  <c:v>4025.87</c:v>
                </c:pt>
                <c:pt idx="57">
                  <c:v>4278.57</c:v>
                </c:pt>
                <c:pt idx="58">
                  <c:v>4577.27</c:v>
                </c:pt>
                <c:pt idx="59">
                  <c:v>4608.27</c:v>
                </c:pt>
                <c:pt idx="60">
                  <c:v>4685.27</c:v>
                </c:pt>
                <c:pt idx="61">
                  <c:v>4808.27</c:v>
                </c:pt>
                <c:pt idx="62">
                  <c:v>5060.97</c:v>
                </c:pt>
                <c:pt idx="63">
                  <c:v>5359.67</c:v>
                </c:pt>
                <c:pt idx="64">
                  <c:v>5658.67</c:v>
                </c:pt>
                <c:pt idx="65">
                  <c:v>5758.67</c:v>
                </c:pt>
                <c:pt idx="66">
                  <c:v>6011.67</c:v>
                </c:pt>
                <c:pt idx="67">
                  <c:v>5411.67</c:v>
                </c:pt>
                <c:pt idx="68">
                  <c:v>5511.67</c:v>
                </c:pt>
                <c:pt idx="69">
                  <c:v>5764.37</c:v>
                </c:pt>
                <c:pt idx="70">
                  <c:v>6017.07</c:v>
                </c:pt>
                <c:pt idx="71">
                  <c:v>6315.77</c:v>
                </c:pt>
                <c:pt idx="72">
                  <c:v>6644.47</c:v>
                </c:pt>
                <c:pt idx="73">
                  <c:v>7444.47</c:v>
                </c:pt>
                <c:pt idx="74">
                  <c:v>7743.17</c:v>
                </c:pt>
                <c:pt idx="75">
                  <c:v>7473.17</c:v>
                </c:pt>
                <c:pt idx="76">
                  <c:v>7453.43</c:v>
                </c:pt>
                <c:pt idx="77">
                  <c:v>7706.13</c:v>
                </c:pt>
                <c:pt idx="78">
                  <c:v>6562.13</c:v>
                </c:pt>
                <c:pt idx="79">
                  <c:v>5762.13</c:v>
                </c:pt>
                <c:pt idx="80">
                  <c:v>5790.13</c:v>
                </c:pt>
                <c:pt idx="81">
                  <c:v>5846.39</c:v>
                </c:pt>
                <c:pt idx="82">
                  <c:v>5899.09</c:v>
                </c:pt>
                <c:pt idx="83">
                  <c:v>5791.81</c:v>
                </c:pt>
                <c:pt idx="84">
                  <c:v>5991.81</c:v>
                </c:pt>
                <c:pt idx="85">
                  <c:v>5880.37</c:v>
                </c:pt>
                <c:pt idx="86">
                  <c:v>5927.42</c:v>
                </c:pt>
                <c:pt idx="87">
                  <c:v>4781.42</c:v>
                </c:pt>
                <c:pt idx="88">
                  <c:v>4735.42</c:v>
                </c:pt>
                <c:pt idx="89">
                  <c:v>4753.22</c:v>
                </c:pt>
                <c:pt idx="90">
                  <c:v>4853.22</c:v>
                </c:pt>
                <c:pt idx="91">
                  <c:v>4833.48</c:v>
                </c:pt>
                <c:pt idx="92">
                  <c:v>4933.48</c:v>
                </c:pt>
                <c:pt idx="93">
                  <c:v>4502.08</c:v>
                </c:pt>
                <c:pt idx="94">
                  <c:v>3802.08</c:v>
                </c:pt>
                <c:pt idx="95">
                  <c:v>3826.94</c:v>
                </c:pt>
                <c:pt idx="96">
                  <c:v>3856.94</c:v>
                </c:pt>
                <c:pt idx="97">
                  <c:v>3586.94</c:v>
                </c:pt>
                <c:pt idx="98">
                  <c:v>3567.2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3493"/>
        <c:axId val="23788096"/>
      </c:lineChart>
      <c:dateAx>
        <c:axId val="483493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788096"/>
        <c:crosses val="autoZero"/>
        <c:auto val="1"/>
        <c:lblOffset val="100"/>
        <c:baseTimeUnit val="days"/>
        <c:noMultiLvlLbl val="0"/>
      </c:dateAx>
      <c:valAx>
        <c:axId val="237880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€* #,##0.00_);_(\€* \(#,##0.00\);_(\€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834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147600</xdr:colOff>
      <xdr:row>105</xdr:row>
      <xdr:rowOff>0</xdr:rowOff>
    </xdr:from>
    <xdr:to>
      <xdr:col>3</xdr:col>
      <xdr:colOff>570960</xdr:colOff>
      <xdr:row>125</xdr:row>
      <xdr:rowOff>56880</xdr:rowOff>
    </xdr:to>
    <xdr:sp>
      <xdr:nvSpPr>
        <xdr:cNvPr id="0" name=""/>
        <xdr:cNvSpPr/>
      </xdr:nvSpPr>
      <xdr:spPr>
        <a:xfrm>
          <a:off x="147600" y="20002680"/>
          <a:ext cx="5991840" cy="38667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FR" sz="1100" spc="-1" strike="noStrike">
              <a:latin typeface="Calibri"/>
            </a:rPr>
            <a:t>Ce graphique n’est pas disponible dans votre version d’Excel.</a:t>
          </a:r>
          <a:endParaRPr b="0" lang="fr-FR" sz="1100" spc="-1" strike="noStrike">
            <a:latin typeface="Calibri"/>
          </a:endParaRPr>
        </a:p>
        <a:p>
          <a:endParaRPr b="0" lang="fr-FR" sz="1100" spc="-1" strike="noStrike">
            <a:latin typeface="Calibri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latin typeface="Calibri"/>
            </a:rPr>
            <a:t>La modification de cette forme ou l’enregistrement de ce classeur dans un autre format de fichier endommagera le graphique de façon irréparable.</a:t>
          </a:r>
          <a:endParaRPr b="0" lang="fr-FR" sz="1100" spc="-1" strike="noStrike">
            <a:latin typeface="Calibri"/>
          </a:endParaRPr>
        </a:p>
      </xdr:txBody>
    </xdr:sp>
    <xdr:clientData/>
  </xdr:twoCellAnchor>
  <xdr:twoCellAnchor editAs="oneCell">
    <xdr:from>
      <xdr:col>3</xdr:col>
      <xdr:colOff>876240</xdr:colOff>
      <xdr:row>105</xdr:row>
      <xdr:rowOff>81000</xdr:rowOff>
    </xdr:from>
    <xdr:to>
      <xdr:col>9</xdr:col>
      <xdr:colOff>361440</xdr:colOff>
      <xdr:row>125</xdr:row>
      <xdr:rowOff>85320</xdr:rowOff>
    </xdr:to>
    <xdr:graphicFrame>
      <xdr:nvGraphicFramePr>
        <xdr:cNvPr id="1" name="Graphique 12"/>
        <xdr:cNvGraphicFramePr/>
      </xdr:nvGraphicFramePr>
      <xdr:xfrm>
        <a:off x="6444720" y="20083680"/>
        <a:ext cx="6024240" cy="38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136080</xdr:colOff>
      <xdr:row>125</xdr:row>
      <xdr:rowOff>174240</xdr:rowOff>
    </xdr:from>
    <xdr:to>
      <xdr:col>9</xdr:col>
      <xdr:colOff>352080</xdr:colOff>
      <xdr:row>154</xdr:row>
      <xdr:rowOff>38520</xdr:rowOff>
    </xdr:to>
    <xdr:graphicFrame>
      <xdr:nvGraphicFramePr>
        <xdr:cNvPr id="2" name="Graphique 14"/>
        <xdr:cNvGraphicFramePr/>
      </xdr:nvGraphicFramePr>
      <xdr:xfrm>
        <a:off x="136080" y="23986800"/>
        <a:ext cx="12323520" cy="538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9" createdVersion="3">
  <cacheSource type="worksheet">
    <worksheetSource ref="A1:F100" sheet="Feuil1"/>
  </cacheSource>
  <cacheFields count="8">
    <cacheField name="Date" numFmtId="0">
      <sharedItems containsSemiMixedTypes="0" containsNonDate="0" containsDate="1" containsString="0" minDate="2022-11-23T00:00:00" maxDate="2023-10-17T00:00:00" count="57">
        <d v="2022-11-23T00:00:00"/>
        <d v="2022-11-24T00:00:00"/>
        <d v="2022-11-25T00:00:00"/>
        <d v="2022-11-28T00:00:00"/>
        <d v="2022-11-29T00:00:00"/>
        <d v="2022-11-30T00:00:00"/>
        <d v="2022-12-05T00:00:00"/>
        <d v="2022-12-08T00:00:00"/>
        <d v="2022-12-09T00:00:00"/>
        <d v="2022-12-12T00:00:00"/>
        <d v="2022-12-14T00:00:00"/>
        <d v="2022-12-19T00:00:00"/>
        <d v="2022-12-20T00:00:00"/>
        <d v="2022-12-21T00:00:00"/>
        <d v="2022-12-22T00:00:00"/>
        <d v="2022-12-23T00:00:00"/>
        <d v="2022-12-27T00:00:00"/>
        <d v="2023-01-03T00:00:00"/>
        <d v="2023-01-09T00:00:00"/>
        <d v="2023-01-17T00:00:00"/>
        <d v="2023-01-18T00:00:00"/>
        <d v="2023-01-19T00:00:00"/>
        <d v="2023-01-30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20T00:00:00"/>
        <d v="2023-03-01T00:00:00"/>
        <d v="2023-03-06T00:00:00"/>
        <d v="2023-03-07T00:00:00"/>
        <d v="2023-03-21T00:00:00"/>
        <d v="2023-03-28T00:00:00"/>
        <d v="2023-04-11T00:00:00"/>
        <d v="2023-04-17T00:00:00"/>
        <d v="2023-04-18T00:00:00"/>
        <d v="2023-04-25T00:00:00"/>
        <d v="2023-04-26T00:00:00"/>
        <d v="2023-05-16T00:00:00"/>
        <d v="2023-05-17T00:00:00"/>
        <d v="2023-05-24T00:00:00"/>
        <d v="2023-06-05T00:00:00"/>
        <d v="2023-06-16T00:00:00"/>
        <d v="2023-06-20T00:00:00"/>
        <d v="2023-06-22T00:00:00"/>
        <d v="2023-07-06T00:00:00"/>
        <d v="2023-07-18T00:00:00"/>
        <d v="2023-08-04T00:00:00"/>
        <d v="2023-08-23T00:00:00"/>
        <d v="2023-09-04T00:00:00"/>
        <d v="2023-09-20T00:00:00"/>
        <d v="2023-09-26T00:00:00"/>
        <d v="2023-10-13T00:00:00"/>
        <d v="2023-10-17T00:00:00"/>
      </sharedItems>
      <fieldGroup base="0">
        <rangePr groupBy="months" startDate="2022-11-23T00:00:00" endDate="2023-10-18T00:00:00"/>
        <groupItems count="14">
          <s v="&lt;23/11/2022"/>
          <s v="janv."/>
          <s v="févr."/>
          <s v="mars"/>
          <s v="avr."/>
          <s v="mai"/>
          <s v="juin"/>
          <s v="juil."/>
          <s v="août"/>
          <s v="sept."/>
          <s v="oct."/>
          <s v="nov."/>
          <s v="déc."/>
          <s v="&gt;18/10/2023"/>
        </groupItems>
      </fieldGroup>
    </cacheField>
    <cacheField name="Designation" numFmtId="0">
      <sharedItems count="82">
        <s v="Achat tapis de Loge Comp"/>
        <s v="Amis de Regle et l'infini"/>
        <s v="Amour et Liberté Medaille"/>
        <s v="Asso Philosophique Loge Paris"/>
        <s v="Avance capitation Alain C"/>
        <s v="Avance capitation Alain F"/>
        <s v="Avance Capitation Ariane T"/>
        <s v="Avance capitation Cedric L"/>
        <s v="Avance capitation Christian L"/>
        <s v="Avance capitation Christophe B"/>
        <s v="Avance capitation Claire Ch"/>
        <s v="Avance capitation Dominique G"/>
        <s v="Avance Capitation Dominique R"/>
        <s v="Avance capitation Florence C"/>
        <s v="Avance Capitation Francois Regis A"/>
        <s v="Avance capitation Gilles D"/>
        <s v="Avance Capitation Gregory R"/>
        <s v="Avance Capitation jean Calude P"/>
        <s v="Avance capitation Jean Luc D et Claire C"/>
        <s v="Avance Capitation jean Marc I"/>
        <s v="Avance Capitation Nicolas D"/>
        <s v="Avance capitation Patric B "/>
        <s v="Avance Capitation Thomas K"/>
        <s v="Avance Capitation Valerie S"/>
        <s v="Avance cotisation JP Del Vecchio"/>
        <s v="Cairn et Acacia"/>
        <s v="Cedric L pour Paul Bestien Banquet"/>
        <s v="Cheque"/>
        <s v="Cheque catherine Agapes"/>
        <s v="Cheque Cotisation ? "/>
        <s v="Cotisation Adispo Asso Classique"/>
        <s v="Cotisation Ariane"/>
        <s v="Didier Rizzo Banquet"/>
        <s v="Dominique G pour 2 repas banquets"/>
        <s v="Double Union medaille"/>
        <s v="Frederic Sarroch Banquet"/>
        <s v="Harmonie Esperance"/>
        <s v="Horwitz Marc Banquet"/>
        <s v="Martine Crane Banquet"/>
        <s v="Medailel CAALA"/>
        <s v="Medaille Saint Antoine et des Amis Réunis"/>
        <s v="Nicolas dupont banquet"/>
        <s v="Noble Amitié"/>
        <s v="Paiement 1er Trim GODF"/>
        <s v="Paiement 2ème Trimestre"/>
        <s v="Paiement 3ème trimestre capitation"/>
        <s v="Paiement Location Devilly"/>
        <s v="Paiement Salle Mousson"/>
        <s v="Rbst Ariane T Pixarprinting"/>
        <s v="Rbst avance GODF FR AUER"/>
        <s v="Rbst JM Mithouard"/>
        <s v="Rbst Michele Pierson"/>
        <s v="Remise de cheques"/>
        <s v="Remsie cheques"/>
        <s v="Solde Costiation jean Claude P"/>
        <s v="Solde cotisation Alain C"/>
        <s v="Solde Cotisation Alain F"/>
        <s v="Solde Cotisation Cedric L"/>
        <s v="Solde Cotisation Christian L"/>
        <s v="Solde Cotisation Christophe B"/>
        <s v="Solde Cotisation Claire C"/>
        <s v="Solde Cotisation Claire Ch"/>
        <s v="Solde Cotisation Dominique G"/>
        <s v="Solde Cotisation Dominique R"/>
        <s v="Solde Cotisation Francois Regis A"/>
        <s v="Solde cotisation Gilles D"/>
        <s v="Solde Cotisation Greg R"/>
        <s v="Solde Cotisation Jean Marc I"/>
        <s v="Solde cotisation JL D"/>
        <s v="Solde Cotisation Michel D"/>
        <s v="Solde cotisation Nicolas D"/>
        <s v="Solde Cotisation Patrick B"/>
        <s v="Solde Cotisation Thomas K"/>
        <s v="Solde cotisation Valerie S"/>
        <s v="Solidarité Caala"/>
        <s v="Virement Ariane T"/>
        <s v="Virement Auer FR "/>
        <s v="Virement FR AUER"/>
        <s v="Virement IBBA Jean Marc"/>
        <s v="Virement tapuis maitre Paemelaire"/>
        <s v="Vitruve"/>
        <s v="Weezevent virement"/>
      </sharedItems>
    </cacheField>
    <cacheField name="Categorie" numFmtId="0">
      <sharedItems count="11">
        <s v="Banquet"/>
        <s v="CAALA"/>
        <s v="convent"/>
        <s v="Cotisation"/>
        <s v="Frais Bancaires"/>
        <s v="GODF"/>
        <s v="Internet Mail Domaine"/>
        <s v="Location"/>
        <s v="Materiel"/>
        <s v="Medaille"/>
        <s v="TDV"/>
      </sharedItems>
    </cacheField>
    <cacheField name="Debit" numFmtId="0">
      <sharedItems containsString="0" containsBlank="1" containsNumber="1" minValue="-3805" maxValue="-11.15" count="17">
        <n v="-3805"/>
        <n v="-1146"/>
        <n v="-1144"/>
        <n v="-800"/>
        <n v="-700"/>
        <n v="-600"/>
        <n v="-431.4"/>
        <n v="-270"/>
        <n v="-139.58"/>
        <n v="-111.44"/>
        <n v="-107.28"/>
        <n v="-100"/>
        <n v="-46"/>
        <n v="-25"/>
        <n v="-19.74"/>
        <n v="-11.15"/>
        <m/>
      </sharedItems>
    </cacheField>
    <cacheField name="Credit" numFmtId="0">
      <sharedItems containsString="0" containsBlank="1" containsNumber="1" minValue="17.8" maxValue="1944.81" count="32">
        <n v="17.8"/>
        <n v="24.86"/>
        <n v="25"/>
        <n v="28"/>
        <n v="30"/>
        <n v="31"/>
        <n v="45"/>
        <n v="47.05"/>
        <n v="50"/>
        <n v="52.7"/>
        <n v="56.26"/>
        <n v="75"/>
        <n v="77"/>
        <n v="100"/>
        <n v="123"/>
        <n v="154"/>
        <n v="200"/>
        <n v="206.7"/>
        <n v="250"/>
        <n v="252.7"/>
        <n v="253"/>
        <n v="264"/>
        <n v="298.7"/>
        <n v="299"/>
        <n v="300"/>
        <n v="328.7"/>
        <n v="346.7"/>
        <n v="350"/>
        <n v="800"/>
        <n v="1032.43"/>
        <n v="1944.81"/>
        <m/>
      </sharedItems>
    </cacheField>
    <cacheField name="Solde" numFmtId="0">
      <sharedItems containsSemiMixedTypes="0" containsString="0" containsNumber="1" minValue="100" maxValue="7743.17" count="99">
        <n v="100"/>
        <n v="300"/>
        <n v="400"/>
        <n v="500"/>
        <n v="600"/>
        <n v="700"/>
        <n v="800"/>
        <n v="900"/>
        <n v="1000"/>
        <n v="1088.85"/>
        <n v="1100"/>
        <n v="1188.85"/>
        <n v="1288.85"/>
        <n v="1388.85"/>
        <n v="1488.85"/>
        <n v="1588.85"/>
        <n v="1688.85"/>
        <n v="2221.51"/>
        <n v="2256.77"/>
        <n v="2361.09"/>
        <n v="2386.09"/>
        <n v="2411.09"/>
        <n v="2471.51"/>
        <n v="2520.77"/>
        <n v="2651.77"/>
        <n v="2671.51"/>
        <n v="2696.77"/>
        <n v="2796.77"/>
        <n v="2867.47"/>
        <n v="3146.77"/>
        <n v="3167.47"/>
        <n v="3246.77"/>
        <n v="3366.17"/>
        <n v="3400.77"/>
        <n v="3466.17"/>
        <n v="3566.17"/>
        <n v="3567.2"/>
        <n v="3586.94"/>
        <n v="3633.66"/>
        <n v="3733.66"/>
        <n v="3783.66"/>
        <n v="3802.08"/>
        <n v="3819.17"/>
        <n v="3826.94"/>
        <n v="3856.94"/>
        <n v="3883.66"/>
        <n v="3983.66"/>
        <n v="4025.87"/>
        <n v="4083.66"/>
        <n v="4278.57"/>
        <n v="4383.66"/>
        <n v="4408.66"/>
        <n v="4433.66"/>
        <n v="4502.08"/>
        <n v="4533.66"/>
        <n v="4577.27"/>
        <n v="4608.27"/>
        <n v="4633.66"/>
        <n v="4683.66"/>
        <n v="4685.27"/>
        <n v="4708.66"/>
        <n v="4735.42"/>
        <n v="4753.22"/>
        <n v="4758.66"/>
        <n v="4781.42"/>
        <n v="4808.27"/>
        <n v="4833.48"/>
        <n v="4853.22"/>
        <n v="4933.48"/>
        <n v="5058.66"/>
        <n v="5060.97"/>
        <n v="5359.67"/>
        <n v="5411.67"/>
        <n v="5511.67"/>
        <n v="5658.67"/>
        <n v="5758.67"/>
        <n v="5762.13"/>
        <n v="5764.37"/>
        <n v="5790.13"/>
        <n v="5791.81"/>
        <n v="5846.39"/>
        <n v="5880.37"/>
        <n v="5899.09"/>
        <n v="5927.42"/>
        <n v="5991.81"/>
        <n v="6011.67"/>
        <n v="6017.07"/>
        <n v="6091.09"/>
        <n v="6116.09"/>
        <n v="6141.09"/>
        <n v="6216.09"/>
        <n v="6315.77"/>
        <n v="6562.13"/>
        <n v="6644.47"/>
        <n v="7444.47"/>
        <n v="7453.43"/>
        <n v="7473.17"/>
        <n v="7706.13"/>
        <n v="7743.17"/>
      </sharedItems>
    </cacheField>
    <cacheField name="Trimestres" numFmtId="0" databaseField="0">
      <fieldGroup base="0">
        <rangePr groupBy="quarters" startDate="2022-11-23T00:00:00" endDate="2023-10-18T00:00:00"/>
        <groupItems count="6">
          <s v="&lt;23/11/2022"/>
          <s v="T1"/>
          <s v="T2"/>
          <s v="T3"/>
          <s v="T4"/>
          <s v="&gt;18/10/2023"/>
        </groupItems>
      </fieldGroup>
    </cacheField>
    <cacheField name="Années" numFmtId="0" databaseField="0">
      <fieldGroup base="0">
        <rangePr groupBy="years" startDate="2022-11-23T00:00:00" endDate="2023-10-18T00:00:00"/>
        <groupItems count="4">
          <s v="&lt;23/11/2022"/>
          <s v="2022"/>
          <s v="2023"/>
          <s v="&gt;18/10/2023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x v="0"/>
    <x v="5"/>
    <x v="3"/>
    <x v="16"/>
    <x v="13"/>
    <x v="0"/>
  </r>
  <r>
    <x v="0"/>
    <x v="18"/>
    <x v="3"/>
    <x v="16"/>
    <x v="16"/>
    <x v="1"/>
  </r>
  <r>
    <x v="1"/>
    <x v="20"/>
    <x v="3"/>
    <x v="16"/>
    <x v="13"/>
    <x v="2"/>
  </r>
  <r>
    <x v="2"/>
    <x v="6"/>
    <x v="3"/>
    <x v="16"/>
    <x v="13"/>
    <x v="3"/>
  </r>
  <r>
    <x v="2"/>
    <x v="16"/>
    <x v="3"/>
    <x v="16"/>
    <x v="13"/>
    <x v="4"/>
  </r>
  <r>
    <x v="2"/>
    <x v="19"/>
    <x v="3"/>
    <x v="16"/>
    <x v="13"/>
    <x v="5"/>
  </r>
  <r>
    <x v="3"/>
    <x v="23"/>
    <x v="3"/>
    <x v="16"/>
    <x v="13"/>
    <x v="6"/>
  </r>
  <r>
    <x v="3"/>
    <x v="10"/>
    <x v="3"/>
    <x v="16"/>
    <x v="13"/>
    <x v="7"/>
  </r>
  <r>
    <x v="3"/>
    <x v="17"/>
    <x v="3"/>
    <x v="16"/>
    <x v="13"/>
    <x v="8"/>
  </r>
  <r>
    <x v="3"/>
    <x v="8"/>
    <x v="3"/>
    <x v="16"/>
    <x v="13"/>
    <x v="10"/>
  </r>
  <r>
    <x v="3"/>
    <x v="30"/>
    <x v="4"/>
    <x v="15"/>
    <x v="31"/>
    <x v="9"/>
  </r>
  <r>
    <x v="4"/>
    <x v="21"/>
    <x v="3"/>
    <x v="16"/>
    <x v="13"/>
    <x v="11"/>
  </r>
  <r>
    <x v="4"/>
    <x v="11"/>
    <x v="3"/>
    <x v="16"/>
    <x v="13"/>
    <x v="12"/>
  </r>
  <r>
    <x v="4"/>
    <x v="7"/>
    <x v="3"/>
    <x v="16"/>
    <x v="13"/>
    <x v="13"/>
  </r>
  <r>
    <x v="4"/>
    <x v="22"/>
    <x v="3"/>
    <x v="16"/>
    <x v="13"/>
    <x v="14"/>
  </r>
  <r>
    <x v="5"/>
    <x v="12"/>
    <x v="3"/>
    <x v="16"/>
    <x v="13"/>
    <x v="15"/>
  </r>
  <r>
    <x v="5"/>
    <x v="14"/>
    <x v="3"/>
    <x v="16"/>
    <x v="13"/>
    <x v="16"/>
  </r>
  <r>
    <x v="6"/>
    <x v="81"/>
    <x v="0"/>
    <x v="16"/>
    <x v="30"/>
    <x v="38"/>
  </r>
  <r>
    <x v="6"/>
    <x v="9"/>
    <x v="3"/>
    <x v="16"/>
    <x v="13"/>
    <x v="39"/>
  </r>
  <r>
    <x v="6"/>
    <x v="36"/>
    <x v="9"/>
    <x v="16"/>
    <x v="8"/>
    <x v="40"/>
  </r>
  <r>
    <x v="7"/>
    <x v="13"/>
    <x v="3"/>
    <x v="16"/>
    <x v="13"/>
    <x v="45"/>
  </r>
  <r>
    <x v="7"/>
    <x v="1"/>
    <x v="9"/>
    <x v="16"/>
    <x v="13"/>
    <x v="46"/>
  </r>
  <r>
    <x v="8"/>
    <x v="24"/>
    <x v="3"/>
    <x v="16"/>
    <x v="13"/>
    <x v="48"/>
  </r>
  <r>
    <x v="8"/>
    <x v="42"/>
    <x v="9"/>
    <x v="16"/>
    <x v="24"/>
    <x v="50"/>
  </r>
  <r>
    <x v="9"/>
    <x v="38"/>
    <x v="0"/>
    <x v="16"/>
    <x v="2"/>
    <x v="51"/>
  </r>
  <r>
    <x v="9"/>
    <x v="32"/>
    <x v="0"/>
    <x v="16"/>
    <x v="2"/>
    <x v="52"/>
  </r>
  <r>
    <x v="9"/>
    <x v="4"/>
    <x v="3"/>
    <x v="16"/>
    <x v="13"/>
    <x v="54"/>
  </r>
  <r>
    <x v="9"/>
    <x v="15"/>
    <x v="3"/>
    <x v="16"/>
    <x v="13"/>
    <x v="57"/>
  </r>
  <r>
    <x v="10"/>
    <x v="37"/>
    <x v="0"/>
    <x v="16"/>
    <x v="8"/>
    <x v="58"/>
  </r>
  <r>
    <x v="11"/>
    <x v="26"/>
    <x v="0"/>
    <x v="16"/>
    <x v="2"/>
    <x v="60"/>
  </r>
  <r>
    <x v="11"/>
    <x v="33"/>
    <x v="0"/>
    <x v="16"/>
    <x v="8"/>
    <x v="63"/>
  </r>
  <r>
    <x v="11"/>
    <x v="40"/>
    <x v="9"/>
    <x v="16"/>
    <x v="24"/>
    <x v="69"/>
  </r>
  <r>
    <x v="12"/>
    <x v="81"/>
    <x v="0"/>
    <x v="16"/>
    <x v="29"/>
    <x v="87"/>
  </r>
  <r>
    <x v="13"/>
    <x v="35"/>
    <x v="0"/>
    <x v="16"/>
    <x v="2"/>
    <x v="88"/>
  </r>
  <r>
    <x v="14"/>
    <x v="41"/>
    <x v="0"/>
    <x v="16"/>
    <x v="2"/>
    <x v="89"/>
  </r>
  <r>
    <x v="14"/>
    <x v="41"/>
    <x v="0"/>
    <x v="16"/>
    <x v="11"/>
    <x v="90"/>
  </r>
  <r>
    <x v="14"/>
    <x v="28"/>
    <x v="0"/>
    <x v="0"/>
    <x v="31"/>
    <x v="21"/>
  </r>
  <r>
    <x v="15"/>
    <x v="51"/>
    <x v="0"/>
    <x v="13"/>
    <x v="31"/>
    <x v="20"/>
  </r>
  <r>
    <x v="15"/>
    <x v="50"/>
    <x v="0"/>
    <x v="13"/>
    <x v="31"/>
    <x v="19"/>
  </r>
  <r>
    <x v="16"/>
    <x v="48"/>
    <x v="8"/>
    <x v="8"/>
    <x v="31"/>
    <x v="17"/>
  </r>
  <r>
    <x v="17"/>
    <x v="31"/>
    <x v="3"/>
    <x v="16"/>
    <x v="18"/>
    <x v="22"/>
  </r>
  <r>
    <x v="18"/>
    <x v="34"/>
    <x v="9"/>
    <x v="16"/>
    <x v="16"/>
    <x v="25"/>
  </r>
  <r>
    <x v="19"/>
    <x v="30"/>
    <x v="4"/>
    <x v="14"/>
    <x v="31"/>
    <x v="24"/>
  </r>
  <r>
    <x v="20"/>
    <x v="52"/>
    <x v="9"/>
    <x v="16"/>
    <x v="6"/>
    <x v="26"/>
  </r>
  <r>
    <x v="20"/>
    <x v="52"/>
    <x v="9"/>
    <x v="16"/>
    <x v="13"/>
    <x v="27"/>
  </r>
  <r>
    <x v="20"/>
    <x v="52"/>
    <x v="9"/>
    <x v="16"/>
    <x v="27"/>
    <x v="29"/>
  </r>
  <r>
    <x v="21"/>
    <x v="3"/>
    <x v="9"/>
    <x v="16"/>
    <x v="13"/>
    <x v="31"/>
  </r>
  <r>
    <x v="22"/>
    <x v="70"/>
    <x v="3"/>
    <x v="16"/>
    <x v="15"/>
    <x v="33"/>
  </r>
  <r>
    <x v="22"/>
    <x v="43"/>
    <x v="5"/>
    <x v="2"/>
    <x v="31"/>
    <x v="18"/>
  </r>
  <r>
    <x v="23"/>
    <x v="68"/>
    <x v="3"/>
    <x v="16"/>
    <x v="21"/>
    <x v="23"/>
  </r>
  <r>
    <x v="23"/>
    <x v="60"/>
    <x v="3"/>
    <x v="16"/>
    <x v="26"/>
    <x v="28"/>
  </r>
  <r>
    <x v="23"/>
    <x v="2"/>
    <x v="9"/>
    <x v="16"/>
    <x v="24"/>
    <x v="30"/>
  </r>
  <r>
    <x v="24"/>
    <x v="59"/>
    <x v="3"/>
    <x v="16"/>
    <x v="22"/>
    <x v="34"/>
  </r>
  <r>
    <x v="24"/>
    <x v="46"/>
    <x v="7"/>
    <x v="11"/>
    <x v="31"/>
    <x v="32"/>
  </r>
  <r>
    <x v="25"/>
    <x v="53"/>
    <x v="9"/>
    <x v="16"/>
    <x v="16"/>
    <x v="35"/>
  </r>
  <r>
    <x v="26"/>
    <x v="73"/>
    <x v="3"/>
    <x v="16"/>
    <x v="20"/>
    <x v="42"/>
  </r>
  <r>
    <x v="26"/>
    <x v="54"/>
    <x v="3"/>
    <x v="16"/>
    <x v="17"/>
    <x v="47"/>
  </r>
  <r>
    <x v="26"/>
    <x v="67"/>
    <x v="3"/>
    <x v="16"/>
    <x v="19"/>
    <x v="49"/>
  </r>
  <r>
    <x v="26"/>
    <x v="56"/>
    <x v="3"/>
    <x v="16"/>
    <x v="22"/>
    <x v="55"/>
  </r>
  <r>
    <x v="27"/>
    <x v="62"/>
    <x v="3"/>
    <x v="16"/>
    <x v="5"/>
    <x v="56"/>
  </r>
  <r>
    <x v="27"/>
    <x v="72"/>
    <x v="3"/>
    <x v="16"/>
    <x v="12"/>
    <x v="59"/>
  </r>
  <r>
    <x v="27"/>
    <x v="66"/>
    <x v="3"/>
    <x v="16"/>
    <x v="14"/>
    <x v="65"/>
  </r>
  <r>
    <x v="27"/>
    <x v="58"/>
    <x v="3"/>
    <x v="16"/>
    <x v="19"/>
    <x v="70"/>
  </r>
  <r>
    <x v="27"/>
    <x v="63"/>
    <x v="3"/>
    <x v="16"/>
    <x v="22"/>
    <x v="71"/>
  </r>
  <r>
    <x v="28"/>
    <x v="61"/>
    <x v="3"/>
    <x v="16"/>
    <x v="23"/>
    <x v="74"/>
  </r>
  <r>
    <x v="29"/>
    <x v="25"/>
    <x v="9"/>
    <x v="16"/>
    <x v="13"/>
    <x v="75"/>
  </r>
  <r>
    <x v="30"/>
    <x v="64"/>
    <x v="3"/>
    <x v="16"/>
    <x v="20"/>
    <x v="85"/>
  </r>
  <r>
    <x v="30"/>
    <x v="49"/>
    <x v="5"/>
    <x v="5"/>
    <x v="31"/>
    <x v="72"/>
  </r>
  <r>
    <x v="30"/>
    <x v="80"/>
    <x v="9"/>
    <x v="16"/>
    <x v="13"/>
    <x v="73"/>
  </r>
  <r>
    <x v="31"/>
    <x v="57"/>
    <x v="3"/>
    <x v="16"/>
    <x v="19"/>
    <x v="77"/>
  </r>
  <r>
    <x v="32"/>
    <x v="71"/>
    <x v="3"/>
    <x v="16"/>
    <x v="19"/>
    <x v="86"/>
  </r>
  <r>
    <x v="33"/>
    <x v="55"/>
    <x v="3"/>
    <x v="16"/>
    <x v="22"/>
    <x v="91"/>
  </r>
  <r>
    <x v="34"/>
    <x v="69"/>
    <x v="3"/>
    <x v="16"/>
    <x v="25"/>
    <x v="93"/>
  </r>
  <r>
    <x v="35"/>
    <x v="39"/>
    <x v="9"/>
    <x v="16"/>
    <x v="28"/>
    <x v="94"/>
  </r>
  <r>
    <x v="36"/>
    <x v="65"/>
    <x v="3"/>
    <x v="16"/>
    <x v="22"/>
    <x v="98"/>
  </r>
  <r>
    <x v="37"/>
    <x v="27"/>
    <x v="1"/>
    <x v="7"/>
    <x v="31"/>
    <x v="96"/>
  </r>
  <r>
    <x v="38"/>
    <x v="30"/>
    <x v="4"/>
    <x v="14"/>
    <x v="31"/>
    <x v="95"/>
  </r>
  <r>
    <x v="39"/>
    <x v="29"/>
    <x v="3"/>
    <x v="16"/>
    <x v="19"/>
    <x v="97"/>
  </r>
  <r>
    <x v="40"/>
    <x v="44"/>
    <x v="5"/>
    <x v="2"/>
    <x v="31"/>
    <x v="92"/>
  </r>
  <r>
    <x v="40"/>
    <x v="47"/>
    <x v="7"/>
    <x v="3"/>
    <x v="31"/>
    <x v="76"/>
  </r>
  <r>
    <x v="41"/>
    <x v="75"/>
    <x v="10"/>
    <x v="16"/>
    <x v="3"/>
    <x v="78"/>
  </r>
  <r>
    <x v="41"/>
    <x v="75"/>
    <x v="10"/>
    <x v="16"/>
    <x v="10"/>
    <x v="80"/>
  </r>
  <r>
    <x v="42"/>
    <x v="52"/>
    <x v="3"/>
    <x v="16"/>
    <x v="9"/>
    <x v="82"/>
  </r>
  <r>
    <x v="43"/>
    <x v="0"/>
    <x v="8"/>
    <x v="10"/>
    <x v="31"/>
    <x v="79"/>
  </r>
  <r>
    <x v="43"/>
    <x v="52"/>
    <x v="9"/>
    <x v="16"/>
    <x v="16"/>
    <x v="84"/>
  </r>
  <r>
    <x v="44"/>
    <x v="76"/>
    <x v="6"/>
    <x v="9"/>
    <x v="31"/>
    <x v="81"/>
  </r>
  <r>
    <x v="44"/>
    <x v="75"/>
    <x v="10"/>
    <x v="16"/>
    <x v="7"/>
    <x v="83"/>
  </r>
  <r>
    <x v="45"/>
    <x v="45"/>
    <x v="5"/>
    <x v="1"/>
    <x v="31"/>
    <x v="64"/>
  </r>
  <r>
    <x v="46"/>
    <x v="27"/>
    <x v="1"/>
    <x v="12"/>
    <x v="31"/>
    <x v="61"/>
  </r>
  <r>
    <x v="47"/>
    <x v="78"/>
    <x v="10"/>
    <x v="16"/>
    <x v="0"/>
    <x v="62"/>
  </r>
  <r>
    <x v="48"/>
    <x v="52"/>
    <x v="3"/>
    <x v="16"/>
    <x v="13"/>
    <x v="67"/>
  </r>
  <r>
    <x v="49"/>
    <x v="30"/>
    <x v="4"/>
    <x v="14"/>
    <x v="31"/>
    <x v="66"/>
  </r>
  <r>
    <x v="50"/>
    <x v="52"/>
    <x v="3"/>
    <x v="16"/>
    <x v="13"/>
    <x v="68"/>
  </r>
  <r>
    <x v="51"/>
    <x v="77"/>
    <x v="2"/>
    <x v="6"/>
    <x v="31"/>
    <x v="53"/>
  </r>
  <r>
    <x v="52"/>
    <x v="27"/>
    <x v="7"/>
    <x v="4"/>
    <x v="31"/>
    <x v="41"/>
  </r>
  <r>
    <x v="53"/>
    <x v="78"/>
    <x v="10"/>
    <x v="16"/>
    <x v="1"/>
    <x v="43"/>
  </r>
  <r>
    <x v="54"/>
    <x v="74"/>
    <x v="1"/>
    <x v="16"/>
    <x v="4"/>
    <x v="44"/>
  </r>
  <r>
    <x v="55"/>
    <x v="79"/>
    <x v="8"/>
    <x v="7"/>
    <x v="31"/>
    <x v="37"/>
  </r>
  <r>
    <x v="56"/>
    <x v="30"/>
    <x v="4"/>
    <x v="14"/>
    <x v="31"/>
    <x v="3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eau croisé dynamique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4:C17" firstHeaderRow="1" firstDataRow="2" firstDataCol="1" rowPageCount="2" colPageCount="1"/>
  <pivotFields count="8">
    <pivotField showAll="0"/>
    <pivotField axis="axisRow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dataField="1" showAll="0"/>
    <pivotField showAll="0"/>
    <pivotField axis="axisPage" showAll="0">
      <items count="7">
        <item x="0"/>
        <item x="5"/>
        <item x="1"/>
        <item x="2"/>
        <item x="3"/>
        <item x="4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</pivotFields>
  <rowFields count="2">
    <field x="2"/>
    <field x="1"/>
  </rowFields>
  <colFields count="1">
    <field x="-2"/>
  </colFields>
  <pageFields count="2">
    <pageField fld="7" hier="-1"/>
    <pageField fld="6" hier="-1"/>
  </pageFields>
  <dataFields count="2">
    <dataField name="Somme de Credit" fld="4" subtotal="sum" numFmtId="165"/>
    <dataField name="Somme de Debit" fld="3" subtotal="sum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23.29"/>
    <col collapsed="false" customWidth="true" hidden="false" outlineLevel="0" max="2" min="2" style="0" width="16.43"/>
    <col collapsed="false" customWidth="true" hidden="false" outlineLevel="0" max="3" min="3" style="0" width="15.71"/>
    <col collapsed="false" customWidth="true" hidden="false" outlineLevel="0" max="5" min="4" style="0" width="10.57"/>
    <col collapsed="false" customWidth="true" hidden="false" outlineLevel="0" max="6" min="6" style="0" width="15.71"/>
    <col collapsed="false" customWidth="true" hidden="false" outlineLevel="0" max="9" min="7" style="0" width="10.57"/>
    <col collapsed="false" customWidth="true" hidden="false" outlineLevel="0" max="10" min="10" style="0" width="21.43"/>
    <col collapsed="false" customWidth="true" hidden="false" outlineLevel="0" max="11" min="11" style="0" width="20.71"/>
    <col collapsed="false" customWidth="true" hidden="false" outlineLevel="0" max="12" min="12" style="0" width="6"/>
    <col collapsed="false" customWidth="true" hidden="false" outlineLevel="0" max="13" min="13" style="0" width="15.42"/>
    <col collapsed="false" customWidth="true" hidden="false" outlineLevel="0" max="14" min="14" style="0" width="12.42"/>
    <col collapsed="false" customWidth="true" hidden="false" outlineLevel="0" max="15" min="15" style="0" width="5"/>
    <col collapsed="false" customWidth="true" hidden="false" outlineLevel="0" max="16" min="16" style="0" width="6"/>
    <col collapsed="false" customWidth="true" hidden="false" outlineLevel="0" max="17" min="17" style="0" width="15.42"/>
    <col collapsed="false" customWidth="true" hidden="false" outlineLevel="0" max="18" min="18" style="0" width="12.42"/>
    <col collapsed="false" customWidth="true" hidden="false" outlineLevel="0" max="19" min="19" style="0" width="15.42"/>
    <col collapsed="false" customWidth="true" hidden="false" outlineLevel="0" max="20" min="20" style="0" width="9.86"/>
    <col collapsed="false" customWidth="true" hidden="false" outlineLevel="0" max="21" min="21" style="0" width="15.71"/>
    <col collapsed="false" customWidth="true" hidden="false" outlineLevel="0" max="22" min="22" style="0" width="8.71"/>
    <col collapsed="false" customWidth="true" hidden="false" outlineLevel="0" max="23" min="23" style="0" width="15.42"/>
    <col collapsed="false" customWidth="true" hidden="false" outlineLevel="0" max="24" min="24" style="0" width="9.86"/>
    <col collapsed="false" customWidth="true" hidden="false" outlineLevel="0" max="25" min="25" style="0" width="12.42"/>
    <col collapsed="false" customWidth="true" hidden="false" outlineLevel="0" max="26" min="26" style="0" width="4.71"/>
    <col collapsed="false" customWidth="true" hidden="false" outlineLevel="0" max="27" min="27" style="0" width="5.29"/>
    <col collapsed="false" customWidth="true" hidden="false" outlineLevel="0" max="28" min="28" style="0" width="15.42"/>
    <col collapsed="false" customWidth="true" hidden="false" outlineLevel="0" max="29" min="29" style="0" width="12.42"/>
    <col collapsed="false" customWidth="true" hidden="false" outlineLevel="0" max="30" min="30" style="0" width="7.71"/>
    <col collapsed="false" customWidth="true" hidden="false" outlineLevel="0" max="31" min="31" style="0" width="8.71"/>
    <col collapsed="false" customWidth="true" hidden="false" outlineLevel="0" max="32" min="32" style="0" width="15.42"/>
    <col collapsed="false" customWidth="true" hidden="false" outlineLevel="0" max="33" min="33" style="0" width="12.42"/>
    <col collapsed="false" customWidth="true" hidden="false" outlineLevel="0" max="34" min="34" style="0" width="6.71"/>
    <col collapsed="false" customWidth="true" hidden="false" outlineLevel="0" max="35" min="35" style="0" width="4.86"/>
    <col collapsed="false" customWidth="true" hidden="false" outlineLevel="0" max="36" min="36" style="0" width="15.42"/>
    <col collapsed="false" customWidth="true" hidden="false" outlineLevel="0" max="37" min="37" style="0" width="12.42"/>
    <col collapsed="false" customWidth="true" hidden="false" outlineLevel="0" max="38" min="38" style="0" width="15.42"/>
    <col collapsed="false" customWidth="true" hidden="false" outlineLevel="0" max="39" min="39" style="0" width="9.86"/>
    <col collapsed="false" customWidth="true" hidden="false" outlineLevel="0" max="40" min="40" style="0" width="21.43"/>
    <col collapsed="false" customWidth="true" hidden="false" outlineLevel="0" max="41" min="41" style="0" width="20.71"/>
    <col collapsed="false" customWidth="true" hidden="false" outlineLevel="0" max="42" min="42" style="0" width="7.57"/>
    <col collapsed="false" customWidth="true" hidden="false" outlineLevel="0" max="45" min="43" style="0" width="7"/>
    <col collapsed="false" customWidth="true" hidden="false" outlineLevel="0" max="49" min="46" style="0" width="7.15"/>
    <col collapsed="false" customWidth="true" hidden="false" outlineLevel="0" max="51" min="50" style="0" width="9"/>
    <col collapsed="false" customWidth="true" hidden="false" outlineLevel="0" max="53" min="52" style="0" width="7.71"/>
    <col collapsed="false" customWidth="true" hidden="false" outlineLevel="0" max="56" min="54" style="0" width="13.42"/>
    <col collapsed="false" customWidth="true" hidden="false" outlineLevel="0" max="58" min="57" style="0" width="10.57"/>
    <col collapsed="false" customWidth="true" hidden="false" outlineLevel="0" max="59" min="59" style="0" width="15.71"/>
    <col collapsed="false" customWidth="true" hidden="false" outlineLevel="0" max="64" min="60" style="0" width="12.86"/>
    <col collapsed="false" customWidth="true" hidden="false" outlineLevel="0" max="75" min="65" style="0" width="12.71"/>
    <col collapsed="false" customWidth="true" hidden="false" outlineLevel="0" max="81" min="76" style="0" width="9.86"/>
    <col collapsed="false" customWidth="true" hidden="false" outlineLevel="0" max="89" min="82" style="0" width="9.71"/>
    <col collapsed="false" customWidth="true" hidden="false" outlineLevel="0" max="94" min="90" style="0" width="8"/>
    <col collapsed="false" customWidth="true" hidden="false" outlineLevel="0" max="99" min="95" style="0" width="7.57"/>
    <col collapsed="false" customWidth="true" hidden="false" outlineLevel="0" max="101" min="100" style="0" width="7"/>
    <col collapsed="false" customWidth="true" hidden="false" outlineLevel="0" max="103" min="102" style="0" width="7.71"/>
    <col collapsed="false" customWidth="true" hidden="false" outlineLevel="0" max="106" min="104" style="0" width="7.15"/>
    <col collapsed="false" customWidth="true" hidden="false" outlineLevel="0" max="108" min="107" style="0" width="9"/>
    <col collapsed="false" customWidth="true" hidden="false" outlineLevel="0" max="110" min="109" style="0" width="7.71"/>
    <col collapsed="false" customWidth="true" hidden="false" outlineLevel="0" max="113" min="111" style="0" width="13.42"/>
    <col collapsed="false" customWidth="true" hidden="false" outlineLevel="0" max="115" min="114" style="0" width="10.57"/>
    <col collapsed="false" customWidth="true" hidden="false" outlineLevel="0" max="116" min="116" style="0" width="21.43"/>
    <col collapsed="false" customWidth="true" hidden="false" outlineLevel="0" max="117" min="117" style="0" width="20.71"/>
    <col collapsed="false" customWidth="true" hidden="false" outlineLevel="0" max="118" min="118" style="0" width="25.29"/>
    <col collapsed="false" customWidth="true" hidden="false" outlineLevel="0" max="119" min="119" style="0" width="15.71"/>
    <col collapsed="false" customWidth="true" hidden="false" outlineLevel="0" max="120" min="120" style="0" width="27.57"/>
    <col collapsed="false" customWidth="true" hidden="false" outlineLevel="0" max="121" min="121" style="0" width="15.71"/>
    <col collapsed="false" customWidth="true" hidden="false" outlineLevel="0" max="122" min="122" style="0" width="22.86"/>
    <col collapsed="false" customWidth="true" hidden="false" outlineLevel="0" max="123" min="123" style="0" width="15.71"/>
    <col collapsed="false" customWidth="true" hidden="false" outlineLevel="0" max="124" min="124" style="0" width="24"/>
    <col collapsed="false" customWidth="true" hidden="false" outlineLevel="0" max="125" min="125" style="0" width="15.71"/>
    <col collapsed="false" customWidth="true" hidden="false" outlineLevel="0" max="126" min="126" style="0" width="28"/>
    <col collapsed="false" customWidth="true" hidden="false" outlineLevel="0" max="127" min="127" style="0" width="15.71"/>
    <col collapsed="false" customWidth="true" hidden="false" outlineLevel="0" max="128" min="128" style="0" width="27.71"/>
    <col collapsed="false" customWidth="true" hidden="false" outlineLevel="0" max="129" min="129" style="0" width="15.71"/>
    <col collapsed="false" customWidth="true" hidden="false" outlineLevel="0" max="130" min="130" style="0" width="30.43"/>
    <col collapsed="false" customWidth="true" hidden="false" outlineLevel="0" max="131" min="131" style="0" width="15.71"/>
    <col collapsed="false" customWidth="true" hidden="false" outlineLevel="0" max="132" min="132" style="0" width="22.71"/>
    <col collapsed="false" customWidth="true" hidden="false" outlineLevel="0" max="133" min="133" style="0" width="15.71"/>
    <col collapsed="false" customWidth="true" hidden="false" outlineLevel="0" max="134" min="134" style="0" width="22"/>
    <col collapsed="false" customWidth="true" hidden="false" outlineLevel="0" max="135" min="135" style="0" width="15.71"/>
    <col collapsed="false" customWidth="true" hidden="false" outlineLevel="0" max="136" min="136" style="0" width="26"/>
    <col collapsed="false" customWidth="true" hidden="false" outlineLevel="0" max="137" min="137" style="0" width="15.71"/>
    <col collapsed="false" customWidth="true" hidden="false" outlineLevel="0" max="138" min="138" style="0" width="19"/>
    <col collapsed="false" customWidth="true" hidden="false" outlineLevel="0" max="139" min="139" style="0" width="15.71"/>
    <col collapsed="false" customWidth="true" hidden="false" outlineLevel="0" max="140" min="140" style="0" width="24"/>
    <col collapsed="false" customWidth="true" hidden="false" outlineLevel="0" max="141" min="141" style="0" width="15.71"/>
    <col collapsed="false" customWidth="true" hidden="false" outlineLevel="0" max="142" min="142" style="0" width="24"/>
    <col collapsed="false" customWidth="true" hidden="false" outlineLevel="0" max="143" min="143" style="0" width="15.71"/>
    <col collapsed="false" customWidth="true" hidden="false" outlineLevel="0" max="144" min="144" style="0" width="23.71"/>
    <col collapsed="false" customWidth="true" hidden="false" outlineLevel="0" max="145" min="145" style="0" width="15.71"/>
    <col collapsed="false" customWidth="true" hidden="false" outlineLevel="0" max="146" min="146" style="0" width="24.57"/>
    <col collapsed="false" customWidth="true" hidden="false" outlineLevel="0" max="147" min="147" style="0" width="15.71"/>
    <col collapsed="false" customWidth="true" hidden="false" outlineLevel="0" max="148" min="148" style="0" width="23.71"/>
    <col collapsed="false" customWidth="true" hidden="false" outlineLevel="0" max="149" min="149" style="0" width="15.71"/>
    <col collapsed="false" customWidth="true" hidden="false" outlineLevel="0" max="150" min="150" style="0" width="16.43"/>
    <col collapsed="false" customWidth="true" hidden="false" outlineLevel="0" max="151" min="151" style="0" width="15.71"/>
    <col collapsed="false" customWidth="true" hidden="false" outlineLevel="0" max="152" min="152" style="0" width="17.29"/>
    <col collapsed="false" customWidth="true" hidden="false" outlineLevel="0" max="153" min="153" style="0" width="15.71"/>
    <col collapsed="false" customWidth="true" hidden="false" outlineLevel="0" max="154" min="154" style="0" width="17.29"/>
    <col collapsed="false" customWidth="true" hidden="false" outlineLevel="0" max="155" min="155" style="0" width="15.71"/>
    <col collapsed="false" customWidth="true" hidden="false" outlineLevel="0" max="156" min="156" style="0" width="17.42"/>
    <col collapsed="false" customWidth="true" hidden="false" outlineLevel="0" max="157" min="157" style="0" width="15.71"/>
    <col collapsed="false" customWidth="true" hidden="false" outlineLevel="0" max="158" min="158" style="0" width="23.57"/>
    <col collapsed="false" customWidth="true" hidden="false" outlineLevel="0" max="159" min="159" style="0" width="15.71"/>
    <col collapsed="false" customWidth="true" hidden="false" outlineLevel="0" max="160" min="160" style="0" width="32.71"/>
    <col collapsed="false" customWidth="true" hidden="false" outlineLevel="0" max="161" min="161" style="0" width="15.71"/>
    <col collapsed="false" customWidth="true" hidden="false" outlineLevel="0" max="162" min="162" style="0" width="16.43"/>
    <col collapsed="false" customWidth="true" hidden="false" outlineLevel="0" max="163" min="163" style="0" width="15.71"/>
    <col collapsed="false" customWidth="true" hidden="false" outlineLevel="0" max="164" min="164" style="0" width="20"/>
    <col collapsed="false" customWidth="true" hidden="false" outlineLevel="0" max="165" min="165" style="0" width="15.71"/>
    <col collapsed="false" customWidth="true" hidden="false" outlineLevel="0" max="166" min="166" style="0" width="21.43"/>
    <col collapsed="false" customWidth="true" hidden="false" outlineLevel="0" max="167" min="167" style="0" width="20.71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2" t="s">
        <v>1</v>
      </c>
    </row>
    <row r="4" customFormat="false" ht="15" hidden="false" customHeight="false" outlineLevel="0" collapsed="false">
      <c r="A4" s="3"/>
      <c r="B4" s="4" t="s">
        <v>3</v>
      </c>
      <c r="C4" s="5"/>
    </row>
    <row r="5" customFormat="false" ht="15" hidden="false" customHeight="false" outlineLevel="0" collapsed="false">
      <c r="A5" s="6" t="s">
        <v>4</v>
      </c>
      <c r="B5" s="7" t="s">
        <v>5</v>
      </c>
      <c r="C5" s="8" t="s">
        <v>6</v>
      </c>
    </row>
    <row r="6" customFormat="false" ht="15" hidden="false" customHeight="false" outlineLevel="0" collapsed="false">
      <c r="A6" s="9" t="s">
        <v>7</v>
      </c>
      <c r="B6" s="10" t="n">
        <v>3277.24</v>
      </c>
      <c r="C6" s="11" t="n">
        <v>-3855</v>
      </c>
    </row>
    <row r="7" customFormat="false" ht="15" hidden="false" customHeight="false" outlineLevel="0" collapsed="false">
      <c r="A7" s="9" t="s">
        <v>8</v>
      </c>
      <c r="B7" s="10" t="n">
        <v>30</v>
      </c>
      <c r="C7" s="11" t="n">
        <v>-316</v>
      </c>
    </row>
    <row r="8" customFormat="false" ht="15" hidden="false" customHeight="false" outlineLevel="0" collapsed="false">
      <c r="A8" s="9" t="s">
        <v>9</v>
      </c>
      <c r="B8" s="12"/>
      <c r="C8" s="11" t="n">
        <v>-431.4</v>
      </c>
    </row>
    <row r="9" customFormat="false" ht="15" hidden="false" customHeight="false" outlineLevel="0" collapsed="false">
      <c r="A9" s="9" t="s">
        <v>10</v>
      </c>
      <c r="B9" s="10" t="n">
        <v>7795.8</v>
      </c>
      <c r="C9" s="13"/>
    </row>
    <row r="10" customFormat="false" ht="15" hidden="false" customHeight="false" outlineLevel="0" collapsed="false">
      <c r="A10" s="9" t="s">
        <v>11</v>
      </c>
      <c r="B10" s="12"/>
      <c r="C10" s="11" t="n">
        <v>-90.11</v>
      </c>
    </row>
    <row r="11" customFormat="false" ht="15" hidden="false" customHeight="false" outlineLevel="0" collapsed="false">
      <c r="A11" s="9" t="s">
        <v>12</v>
      </c>
      <c r="B11" s="12"/>
      <c r="C11" s="11" t="n">
        <v>-4034</v>
      </c>
    </row>
    <row r="12" customFormat="false" ht="15" hidden="false" customHeight="false" outlineLevel="0" collapsed="false">
      <c r="A12" s="9" t="s">
        <v>13</v>
      </c>
      <c r="B12" s="12"/>
      <c r="C12" s="11" t="n">
        <v>-111.44</v>
      </c>
    </row>
    <row r="13" customFormat="false" ht="15" hidden="false" customHeight="false" outlineLevel="0" collapsed="false">
      <c r="A13" s="9" t="s">
        <v>14</v>
      </c>
      <c r="B13" s="12"/>
      <c r="C13" s="11" t="n">
        <v>-1600</v>
      </c>
    </row>
    <row r="14" customFormat="false" ht="15" hidden="false" customHeight="false" outlineLevel="0" collapsed="false">
      <c r="A14" s="9" t="s">
        <v>15</v>
      </c>
      <c r="B14" s="12"/>
      <c r="C14" s="11" t="n">
        <v>-516.86</v>
      </c>
    </row>
    <row r="15" customFormat="false" ht="15" hidden="false" customHeight="false" outlineLevel="0" collapsed="false">
      <c r="A15" s="9" t="s">
        <v>16</v>
      </c>
      <c r="B15" s="10" t="n">
        <v>3245</v>
      </c>
      <c r="C15" s="13"/>
    </row>
    <row r="16" customFormat="false" ht="15" hidden="false" customHeight="false" outlineLevel="0" collapsed="false">
      <c r="A16" s="9" t="s">
        <v>17</v>
      </c>
      <c r="B16" s="10" t="n">
        <v>173.97</v>
      </c>
      <c r="C16" s="13"/>
    </row>
    <row r="17" customFormat="false" ht="15" hidden="false" customHeight="false" outlineLevel="0" collapsed="false">
      <c r="A17" s="14" t="s">
        <v>18</v>
      </c>
      <c r="B17" s="15" t="n">
        <v>14522.01</v>
      </c>
      <c r="C17" s="16" t="n">
        <v>-10954.81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0.6796875" defaultRowHeight="15" zeroHeight="false" outlineLevelRow="1" outlineLevelCol="0"/>
  <cols>
    <col collapsed="false" customWidth="true" hidden="false" outlineLevel="0" max="1" min="1" style="0" width="18.57"/>
    <col collapsed="false" customWidth="true" hidden="false" outlineLevel="0" max="2" min="2" style="0" width="39.14"/>
    <col collapsed="false" customWidth="true" hidden="false" outlineLevel="0" max="3" min="3" style="0" width="21.29"/>
    <col collapsed="false" customWidth="true" hidden="false" outlineLevel="0" max="4" min="4" style="0" width="14.71"/>
    <col collapsed="false" customWidth="true" hidden="false" outlineLevel="0" max="5" min="5" style="0" width="14.86"/>
    <col collapsed="false" customWidth="true" hidden="false" outlineLevel="0" max="6" min="6" style="0" width="26.29"/>
    <col collapsed="false" customWidth="true" hidden="false" outlineLevel="0" max="9" min="9" style="0" width="15.57"/>
  </cols>
  <sheetData>
    <row r="1" customFormat="false" ht="15" hidden="false" customHeight="false" outlineLevel="0" collapsed="false">
      <c r="A1" s="17" t="s">
        <v>19</v>
      </c>
      <c r="B1" s="17" t="s">
        <v>20</v>
      </c>
      <c r="C1" s="17" t="s">
        <v>21</v>
      </c>
      <c r="D1" s="17" t="s">
        <v>22</v>
      </c>
      <c r="E1" s="17" t="s">
        <v>23</v>
      </c>
      <c r="F1" s="17" t="s">
        <v>24</v>
      </c>
      <c r="I1" s="0" t="s">
        <v>17</v>
      </c>
      <c r="J1" s="18" t="n">
        <v>36892</v>
      </c>
      <c r="K1" s="0" t="n">
        <v>52.32</v>
      </c>
    </row>
    <row r="2" customFormat="false" ht="15" hidden="false" customHeight="false" outlineLevel="0" collapsed="false">
      <c r="A2" s="19" t="n">
        <v>44888</v>
      </c>
      <c r="B2" s="0" t="s">
        <v>25</v>
      </c>
      <c r="C2" s="0" t="s">
        <v>10</v>
      </c>
      <c r="D2" s="20"/>
      <c r="E2" s="20" t="n">
        <v>100</v>
      </c>
      <c r="F2" s="20" t="n">
        <f aca="false">E2</f>
        <v>100</v>
      </c>
      <c r="J2" s="18" t="n">
        <v>37257</v>
      </c>
      <c r="K2" s="0" t="n">
        <v>36.04</v>
      </c>
    </row>
    <row r="3" customFormat="false" ht="15" hidden="false" customHeight="false" outlineLevel="0" collapsed="false">
      <c r="A3" s="19" t="n">
        <v>44888</v>
      </c>
      <c r="B3" s="0" t="s">
        <v>26</v>
      </c>
      <c r="C3" s="0" t="s">
        <v>10</v>
      </c>
      <c r="D3" s="20"/>
      <c r="E3" s="20" t="n">
        <v>200</v>
      </c>
      <c r="F3" s="20" t="n">
        <f aca="false">F2+E3+D3</f>
        <v>300</v>
      </c>
      <c r="J3" s="18" t="n">
        <v>36923</v>
      </c>
      <c r="K3" s="0" t="n">
        <v>33.3</v>
      </c>
    </row>
    <row r="4" customFormat="false" ht="15" hidden="false" customHeight="false" outlineLevel="0" collapsed="false">
      <c r="A4" s="19" t="n">
        <v>44889</v>
      </c>
      <c r="B4" s="0" t="s">
        <v>27</v>
      </c>
      <c r="C4" s="0" t="s">
        <v>10</v>
      </c>
      <c r="D4" s="20"/>
      <c r="E4" s="20" t="n">
        <v>100</v>
      </c>
      <c r="F4" s="20" t="n">
        <f aca="false">F3+E4+D4</f>
        <v>400</v>
      </c>
      <c r="J4" s="18" t="n">
        <v>37288</v>
      </c>
    </row>
    <row r="5" customFormat="false" ht="15" hidden="false" customHeight="false" outlineLevel="0" collapsed="false">
      <c r="A5" s="19" t="n">
        <v>44890</v>
      </c>
      <c r="B5" s="0" t="s">
        <v>28</v>
      </c>
      <c r="C5" s="0" t="s">
        <v>10</v>
      </c>
      <c r="D5" s="20"/>
      <c r="E5" s="20" t="n">
        <v>100</v>
      </c>
      <c r="F5" s="20" t="n">
        <f aca="false">F4+E5+D5</f>
        <v>500</v>
      </c>
      <c r="J5" s="18" t="n">
        <v>36951</v>
      </c>
    </row>
    <row r="6" customFormat="false" ht="15" hidden="false" customHeight="false" outlineLevel="0" collapsed="false">
      <c r="A6" s="19" t="n">
        <v>44890</v>
      </c>
      <c r="B6" s="0" t="s">
        <v>29</v>
      </c>
      <c r="C6" s="0" t="s">
        <v>10</v>
      </c>
      <c r="D6" s="20"/>
      <c r="E6" s="20" t="n">
        <v>100</v>
      </c>
      <c r="F6" s="20" t="n">
        <f aca="false">F5+E6+D6</f>
        <v>600</v>
      </c>
      <c r="J6" s="18" t="n">
        <v>37316</v>
      </c>
      <c r="K6" s="0" t="n">
        <v>29.41</v>
      </c>
    </row>
    <row r="7" customFormat="false" ht="15" hidden="false" customHeight="false" outlineLevel="0" collapsed="false">
      <c r="A7" s="19" t="n">
        <v>44890</v>
      </c>
      <c r="B7" s="0" t="s">
        <v>30</v>
      </c>
      <c r="C7" s="0" t="s">
        <v>10</v>
      </c>
      <c r="D7" s="20"/>
      <c r="E7" s="20" t="n">
        <v>100</v>
      </c>
      <c r="F7" s="20" t="n">
        <f aca="false">F6+E7+D7</f>
        <v>700</v>
      </c>
      <c r="J7" s="18" t="n">
        <v>36982</v>
      </c>
      <c r="K7" s="0" t="n">
        <v>25.15</v>
      </c>
    </row>
    <row r="8" customFormat="false" ht="15" hidden="false" customHeight="false" outlineLevel="0" collapsed="false">
      <c r="A8" s="19" t="n">
        <v>44893</v>
      </c>
      <c r="B8" s="0" t="s">
        <v>31</v>
      </c>
      <c r="C8" s="0" t="s">
        <v>10</v>
      </c>
      <c r="D8" s="20"/>
      <c r="E8" s="20" t="n">
        <v>100</v>
      </c>
      <c r="F8" s="20" t="n">
        <f aca="false">F7+E8+D8</f>
        <v>800</v>
      </c>
      <c r="J8" s="18" t="n">
        <v>37347</v>
      </c>
    </row>
    <row r="9" customFormat="false" ht="15" hidden="false" customHeight="false" outlineLevel="0" collapsed="false">
      <c r="A9" s="19" t="n">
        <v>44893</v>
      </c>
      <c r="B9" s="0" t="s">
        <v>32</v>
      </c>
      <c r="C9" s="0" t="s">
        <v>10</v>
      </c>
      <c r="D9" s="20"/>
      <c r="E9" s="20" t="n">
        <v>100</v>
      </c>
      <c r="F9" s="20" t="n">
        <f aca="false">F8+E9+D9</f>
        <v>900</v>
      </c>
      <c r="J9" s="18" t="n">
        <v>37012</v>
      </c>
    </row>
    <row r="10" customFormat="false" ht="15" hidden="false" customHeight="false" outlineLevel="0" collapsed="false">
      <c r="A10" s="19" t="n">
        <v>44893</v>
      </c>
      <c r="B10" s="0" t="s">
        <v>33</v>
      </c>
      <c r="C10" s="0" t="s">
        <v>10</v>
      </c>
      <c r="D10" s="20"/>
      <c r="E10" s="20" t="n">
        <v>100</v>
      </c>
      <c r="F10" s="20" t="n">
        <f aca="false">F9+E10+D10</f>
        <v>1000</v>
      </c>
      <c r="J10" s="18" t="n">
        <v>37377</v>
      </c>
    </row>
    <row r="11" customFormat="false" ht="15" hidden="false" customHeight="false" outlineLevel="0" collapsed="false">
      <c r="A11" s="19" t="n">
        <v>44893</v>
      </c>
      <c r="B11" s="0" t="s">
        <v>34</v>
      </c>
      <c r="C11" s="0" t="s">
        <v>10</v>
      </c>
      <c r="D11" s="20"/>
      <c r="E11" s="20" t="n">
        <v>100</v>
      </c>
      <c r="F11" s="20" t="n">
        <f aca="false">F10+E11+D11</f>
        <v>1100</v>
      </c>
      <c r="J11" s="18" t="n">
        <v>37043</v>
      </c>
    </row>
    <row r="12" customFormat="false" ht="15" hidden="false" customHeight="false" outlineLevel="0" collapsed="false">
      <c r="A12" s="19" t="n">
        <v>44893</v>
      </c>
      <c r="B12" s="0" t="s">
        <v>35</v>
      </c>
      <c r="C12" s="0" t="s">
        <v>11</v>
      </c>
      <c r="D12" s="20" t="n">
        <v>-11.15</v>
      </c>
      <c r="E12" s="20"/>
      <c r="F12" s="20" t="n">
        <f aca="false">F11+E12+D12</f>
        <v>1088.85</v>
      </c>
      <c r="J12" s="18" t="n">
        <v>37408</v>
      </c>
      <c r="K12" s="0" t="n">
        <v>17.8</v>
      </c>
    </row>
    <row r="13" customFormat="false" ht="15" hidden="false" customHeight="false" outlineLevel="0" collapsed="false">
      <c r="A13" s="19" t="n">
        <v>44894</v>
      </c>
      <c r="B13" s="21" t="s">
        <v>36</v>
      </c>
      <c r="C13" s="0" t="s">
        <v>10</v>
      </c>
      <c r="D13" s="20"/>
      <c r="E13" s="20" t="n">
        <v>100</v>
      </c>
      <c r="F13" s="20" t="n">
        <f aca="false">F12+E13+D13</f>
        <v>1188.85</v>
      </c>
      <c r="J13" s="18" t="n">
        <v>37135</v>
      </c>
    </row>
    <row r="14" customFormat="false" ht="15" hidden="false" customHeight="false" outlineLevel="0" collapsed="false">
      <c r="A14" s="19" t="n">
        <v>44894</v>
      </c>
      <c r="B14" s="0" t="s">
        <v>37</v>
      </c>
      <c r="C14" s="0" t="s">
        <v>10</v>
      </c>
      <c r="D14" s="20"/>
      <c r="E14" s="20" t="n">
        <v>100</v>
      </c>
      <c r="F14" s="20" t="n">
        <f aca="false">F13+E14+D14</f>
        <v>1288.85</v>
      </c>
      <c r="J14" s="18" t="n">
        <v>37500</v>
      </c>
      <c r="K14" s="0" t="n">
        <v>37.2</v>
      </c>
    </row>
    <row r="15" customFormat="false" ht="15" hidden="false" customHeight="false" outlineLevel="0" collapsed="false">
      <c r="A15" s="19" t="n">
        <v>44894</v>
      </c>
      <c r="B15" s="0" t="s">
        <v>38</v>
      </c>
      <c r="C15" s="0" t="s">
        <v>10</v>
      </c>
      <c r="D15" s="20"/>
      <c r="E15" s="20" t="n">
        <v>100</v>
      </c>
      <c r="F15" s="20" t="n">
        <f aca="false">F14+E15+D15</f>
        <v>1388.85</v>
      </c>
      <c r="J15" s="18" t="n">
        <v>37165</v>
      </c>
      <c r="K15" s="0" t="n">
        <v>31.5</v>
      </c>
    </row>
    <row r="16" customFormat="false" ht="15" hidden="false" customHeight="false" outlineLevel="0" collapsed="false">
      <c r="A16" s="19" t="n">
        <v>44894</v>
      </c>
      <c r="B16" s="0" t="s">
        <v>39</v>
      </c>
      <c r="C16" s="0" t="s">
        <v>10</v>
      </c>
      <c r="D16" s="20"/>
      <c r="E16" s="20" t="n">
        <v>100</v>
      </c>
      <c r="F16" s="20" t="n">
        <f aca="false">F15+E16+D16</f>
        <v>1488.85</v>
      </c>
      <c r="J16" s="18" t="n">
        <v>37530</v>
      </c>
      <c r="K16" s="0" t="n">
        <v>37.2</v>
      </c>
    </row>
    <row r="17" customFormat="false" ht="15" hidden="false" customHeight="false" outlineLevel="0" collapsed="false">
      <c r="A17" s="19" t="n">
        <v>44895</v>
      </c>
      <c r="B17" s="0" t="s">
        <v>40</v>
      </c>
      <c r="C17" s="0" t="s">
        <v>10</v>
      </c>
      <c r="D17" s="20"/>
      <c r="E17" s="20" t="n">
        <v>100</v>
      </c>
      <c r="F17" s="20" t="n">
        <f aca="false">F16+E17+D17</f>
        <v>1588.85</v>
      </c>
      <c r="J17" s="18" t="n">
        <v>37196</v>
      </c>
    </row>
    <row r="18" customFormat="false" ht="15" hidden="false" customHeight="false" outlineLevel="0" collapsed="false">
      <c r="A18" s="19" t="n">
        <v>44895</v>
      </c>
      <c r="B18" s="0" t="s">
        <v>41</v>
      </c>
      <c r="C18" s="0" t="s">
        <v>10</v>
      </c>
      <c r="D18" s="20"/>
      <c r="E18" s="20" t="n">
        <v>100</v>
      </c>
      <c r="F18" s="20" t="n">
        <f aca="false">F17+E18+D18</f>
        <v>1688.85</v>
      </c>
      <c r="J18" s="18" t="n">
        <v>37561</v>
      </c>
    </row>
    <row r="19" customFormat="false" ht="15" hidden="false" customHeight="false" outlineLevel="0" collapsed="false">
      <c r="A19" s="19" t="n">
        <v>44900</v>
      </c>
      <c r="B19" s="0" t="s">
        <v>42</v>
      </c>
      <c r="C19" s="0" t="s">
        <v>7</v>
      </c>
      <c r="D19" s="20"/>
      <c r="E19" s="20" t="n">
        <v>1944.81</v>
      </c>
      <c r="F19" s="20" t="n">
        <f aca="false">F18+E19+D19</f>
        <v>3633.66</v>
      </c>
    </row>
    <row r="20" customFormat="false" ht="15" hidden="false" customHeight="false" outlineLevel="0" collapsed="false">
      <c r="A20" s="19" t="n">
        <v>44900</v>
      </c>
      <c r="B20" s="0" t="s">
        <v>43</v>
      </c>
      <c r="C20" s="0" t="s">
        <v>10</v>
      </c>
      <c r="D20" s="20"/>
      <c r="E20" s="20" t="n">
        <v>100</v>
      </c>
      <c r="F20" s="20" t="n">
        <f aca="false">F19+E20+D20</f>
        <v>3733.66</v>
      </c>
    </row>
    <row r="21" customFormat="false" ht="15" hidden="false" customHeight="false" outlineLevel="0" collapsed="false">
      <c r="A21" s="19" t="n">
        <v>44900</v>
      </c>
      <c r="B21" s="0" t="s">
        <v>44</v>
      </c>
      <c r="C21" s="0" t="s">
        <v>16</v>
      </c>
      <c r="D21" s="20"/>
      <c r="E21" s="20" t="n">
        <v>50</v>
      </c>
      <c r="F21" s="20" t="n">
        <f aca="false">F20+E21+D21</f>
        <v>3783.66</v>
      </c>
    </row>
    <row r="22" customFormat="false" ht="15" hidden="false" customHeight="false" outlineLevel="0" collapsed="false">
      <c r="A22" s="19" t="n">
        <v>44903</v>
      </c>
      <c r="B22" s="0" t="s">
        <v>45</v>
      </c>
      <c r="C22" s="0" t="s">
        <v>10</v>
      </c>
      <c r="D22" s="20"/>
      <c r="E22" s="20" t="n">
        <v>100</v>
      </c>
      <c r="F22" s="20" t="n">
        <f aca="false">F21+E22+D22</f>
        <v>3883.66</v>
      </c>
    </row>
    <row r="23" customFormat="false" ht="15" hidden="false" customHeight="false" outlineLevel="0" collapsed="false">
      <c r="A23" s="19" t="n">
        <v>44903</v>
      </c>
      <c r="B23" s="0" t="s">
        <v>46</v>
      </c>
      <c r="C23" s="0" t="s">
        <v>16</v>
      </c>
      <c r="D23" s="20"/>
      <c r="E23" s="20" t="n">
        <v>100</v>
      </c>
      <c r="F23" s="20" t="n">
        <f aca="false">F22+E23+D23</f>
        <v>3983.66</v>
      </c>
    </row>
    <row r="24" customFormat="false" ht="15" hidden="false" customHeight="false" outlineLevel="0" collapsed="false">
      <c r="A24" s="19" t="n">
        <v>44904</v>
      </c>
      <c r="B24" s="0" t="s">
        <v>47</v>
      </c>
      <c r="C24" s="0" t="s">
        <v>10</v>
      </c>
      <c r="D24" s="20"/>
      <c r="E24" s="20" t="n">
        <v>100</v>
      </c>
      <c r="F24" s="20" t="n">
        <f aca="false">F23+E24+D24</f>
        <v>4083.66</v>
      </c>
      <c r="H24" s="0" t="s">
        <v>10</v>
      </c>
      <c r="I24" s="0" t="s">
        <v>48</v>
      </c>
    </row>
    <row r="25" customFormat="false" ht="15" hidden="false" customHeight="false" outlineLevel="0" collapsed="false">
      <c r="A25" s="19" t="n">
        <v>44904</v>
      </c>
      <c r="B25" s="0" t="s">
        <v>49</v>
      </c>
      <c r="C25" s="0" t="s">
        <v>16</v>
      </c>
      <c r="D25" s="20"/>
      <c r="E25" s="20" t="n">
        <v>300</v>
      </c>
      <c r="F25" s="20" t="n">
        <f aca="false">F24+E25+D25</f>
        <v>4383.66</v>
      </c>
    </row>
    <row r="26" customFormat="false" ht="15" hidden="false" customHeight="false" outlineLevel="0" collapsed="false">
      <c r="A26" s="19" t="n">
        <v>44907</v>
      </c>
      <c r="B26" s="0" t="s">
        <v>50</v>
      </c>
      <c r="C26" s="0" t="s">
        <v>7</v>
      </c>
      <c r="D26" s="20"/>
      <c r="E26" s="20" t="n">
        <v>25</v>
      </c>
      <c r="F26" s="20" t="n">
        <f aca="false">F25+E26+D26</f>
        <v>4408.66</v>
      </c>
    </row>
    <row r="27" customFormat="false" ht="15" hidden="false" customHeight="false" outlineLevel="0" collapsed="false">
      <c r="A27" s="19" t="n">
        <v>44907</v>
      </c>
      <c r="B27" s="0" t="s">
        <v>51</v>
      </c>
      <c r="C27" s="0" t="s">
        <v>7</v>
      </c>
      <c r="D27" s="20"/>
      <c r="E27" s="20" t="n">
        <v>25</v>
      </c>
      <c r="F27" s="20" t="n">
        <f aca="false">F26+E27+D27</f>
        <v>4433.66</v>
      </c>
    </row>
    <row r="28" customFormat="false" ht="15" hidden="false" customHeight="false" outlineLevel="0" collapsed="false">
      <c r="A28" s="19" t="n">
        <v>44907</v>
      </c>
      <c r="B28" s="0" t="s">
        <v>52</v>
      </c>
      <c r="C28" s="0" t="s">
        <v>10</v>
      </c>
      <c r="D28" s="20"/>
      <c r="E28" s="20" t="n">
        <v>100</v>
      </c>
      <c r="F28" s="20" t="n">
        <f aca="false">F27+E28+D28</f>
        <v>4533.66</v>
      </c>
    </row>
    <row r="29" customFormat="false" ht="15" hidden="false" customHeight="false" outlineLevel="0" collapsed="false">
      <c r="A29" s="19" t="n">
        <v>44907</v>
      </c>
      <c r="B29" s="0" t="s">
        <v>53</v>
      </c>
      <c r="C29" s="0" t="s">
        <v>10</v>
      </c>
      <c r="D29" s="20"/>
      <c r="E29" s="20" t="n">
        <v>100</v>
      </c>
      <c r="F29" s="20" t="n">
        <f aca="false">F28+E29+D29</f>
        <v>4633.66</v>
      </c>
    </row>
    <row r="30" customFormat="false" ht="15" hidden="false" customHeight="false" outlineLevel="0" collapsed="false">
      <c r="A30" s="19" t="n">
        <v>44909</v>
      </c>
      <c r="B30" s="0" t="s">
        <v>54</v>
      </c>
      <c r="C30" s="0" t="s">
        <v>55</v>
      </c>
      <c r="D30" s="20"/>
      <c r="E30" s="20" t="n">
        <v>50</v>
      </c>
      <c r="F30" s="20" t="n">
        <f aca="false">F29+E30+D30</f>
        <v>4683.66</v>
      </c>
    </row>
    <row r="31" customFormat="false" ht="15" hidden="false" customHeight="false" outlineLevel="0" collapsed="false">
      <c r="A31" s="19" t="n">
        <v>44914</v>
      </c>
      <c r="B31" s="0" t="s">
        <v>56</v>
      </c>
      <c r="C31" s="0" t="s">
        <v>7</v>
      </c>
      <c r="D31" s="20"/>
      <c r="E31" s="20" t="n">
        <v>25</v>
      </c>
      <c r="F31" s="20" t="n">
        <f aca="false">F30+E31+D31</f>
        <v>4708.66</v>
      </c>
    </row>
    <row r="32" customFormat="false" ht="15" hidden="false" customHeight="false" outlineLevel="0" collapsed="false">
      <c r="A32" s="19" t="n">
        <v>44914</v>
      </c>
      <c r="B32" s="0" t="s">
        <v>57</v>
      </c>
      <c r="C32" s="0" t="s">
        <v>7</v>
      </c>
      <c r="D32" s="20"/>
      <c r="E32" s="20" t="n">
        <v>50</v>
      </c>
      <c r="F32" s="20" t="n">
        <f aca="false">F31+E32+D32</f>
        <v>4758.66</v>
      </c>
    </row>
    <row r="33" customFormat="false" ht="15" hidden="false" customHeight="false" outlineLevel="0" collapsed="false">
      <c r="A33" s="19" t="n">
        <v>44914</v>
      </c>
      <c r="B33" s="0" t="s">
        <v>58</v>
      </c>
      <c r="C33" s="0" t="s">
        <v>16</v>
      </c>
      <c r="D33" s="20"/>
      <c r="E33" s="20" t="n">
        <v>300</v>
      </c>
      <c r="F33" s="20" t="n">
        <f aca="false">F32+E33+D33</f>
        <v>5058.66</v>
      </c>
    </row>
    <row r="34" customFormat="false" ht="15" hidden="false" customHeight="false" outlineLevel="0" collapsed="false">
      <c r="A34" s="19" t="n">
        <v>44915</v>
      </c>
      <c r="B34" s="0" t="s">
        <v>42</v>
      </c>
      <c r="C34" s="0" t="s">
        <v>7</v>
      </c>
      <c r="D34" s="20"/>
      <c r="E34" s="20" t="n">
        <v>1032.43</v>
      </c>
      <c r="F34" s="20" t="n">
        <f aca="false">F33+E34+D34</f>
        <v>6091.09</v>
      </c>
    </row>
    <row r="35" customFormat="false" ht="15" hidden="false" customHeight="false" outlineLevel="0" collapsed="false">
      <c r="A35" s="19" t="n">
        <v>44916</v>
      </c>
      <c r="B35" s="0" t="s">
        <v>59</v>
      </c>
      <c r="C35" s="0" t="s">
        <v>7</v>
      </c>
      <c r="D35" s="20"/>
      <c r="E35" s="20" t="n">
        <v>25</v>
      </c>
      <c r="F35" s="20" t="n">
        <f aca="false">F34+E35+D35</f>
        <v>6116.09</v>
      </c>
    </row>
    <row r="36" customFormat="false" ht="15" hidden="false" customHeight="false" outlineLevel="0" collapsed="false">
      <c r="A36" s="19" t="n">
        <v>44917</v>
      </c>
      <c r="B36" s="0" t="s">
        <v>60</v>
      </c>
      <c r="C36" s="0" t="s">
        <v>7</v>
      </c>
      <c r="D36" s="20"/>
      <c r="E36" s="20" t="n">
        <v>25</v>
      </c>
      <c r="F36" s="20" t="n">
        <f aca="false">F35+E36+D36</f>
        <v>6141.09</v>
      </c>
    </row>
    <row r="37" customFormat="false" ht="15" hidden="false" customHeight="false" outlineLevel="0" collapsed="false">
      <c r="A37" s="19" t="n">
        <v>44917</v>
      </c>
      <c r="B37" s="0" t="s">
        <v>60</v>
      </c>
      <c r="C37" s="0" t="s">
        <v>7</v>
      </c>
      <c r="D37" s="20"/>
      <c r="E37" s="20" t="n">
        <v>75</v>
      </c>
      <c r="F37" s="20" t="n">
        <f aca="false">F36+E37+D37</f>
        <v>6216.09</v>
      </c>
    </row>
    <row r="38" customFormat="false" ht="15" hidden="false" customHeight="false" outlineLevel="0" collapsed="false">
      <c r="A38" s="19" t="n">
        <v>44917</v>
      </c>
      <c r="B38" s="0" t="s">
        <v>61</v>
      </c>
      <c r="C38" s="0" t="s">
        <v>7</v>
      </c>
      <c r="D38" s="20" t="n">
        <v>-3805</v>
      </c>
      <c r="E38" s="20"/>
      <c r="F38" s="20" t="n">
        <f aca="false">F37+E38+D38</f>
        <v>2411.09</v>
      </c>
    </row>
    <row r="39" customFormat="false" ht="15" hidden="false" customHeight="false" outlineLevel="0" collapsed="false">
      <c r="A39" s="19" t="n">
        <v>44918</v>
      </c>
      <c r="B39" s="0" t="s">
        <v>62</v>
      </c>
      <c r="C39" s="0" t="s">
        <v>7</v>
      </c>
      <c r="D39" s="20" t="n">
        <v>-25</v>
      </c>
      <c r="E39" s="20"/>
      <c r="F39" s="20" t="n">
        <f aca="false">F38+E39+D39</f>
        <v>2386.09</v>
      </c>
    </row>
    <row r="40" customFormat="false" ht="15" hidden="false" customHeight="false" outlineLevel="0" collapsed="false">
      <c r="A40" s="19" t="n">
        <v>44918</v>
      </c>
      <c r="B40" s="0" t="s">
        <v>63</v>
      </c>
      <c r="C40" s="0" t="s">
        <v>7</v>
      </c>
      <c r="D40" s="20" t="n">
        <v>-25</v>
      </c>
      <c r="E40" s="20"/>
      <c r="F40" s="20" t="n">
        <f aca="false">F39+E40+D40</f>
        <v>2361.09</v>
      </c>
    </row>
    <row r="41" customFormat="false" ht="15" hidden="false" customHeight="false" outlineLevel="0" collapsed="false">
      <c r="A41" s="19" t="n">
        <v>44922</v>
      </c>
      <c r="B41" s="0" t="s">
        <v>64</v>
      </c>
      <c r="C41" s="0" t="s">
        <v>15</v>
      </c>
      <c r="D41" s="20" t="n">
        <v>-139.58</v>
      </c>
      <c r="E41" s="20"/>
      <c r="F41" s="20" t="n">
        <f aca="false">F40+E41+D41</f>
        <v>2221.51</v>
      </c>
    </row>
    <row r="42" customFormat="false" ht="15" hidden="false" customHeight="false" outlineLevel="0" collapsed="false">
      <c r="A42" s="19" t="n">
        <v>44929</v>
      </c>
      <c r="B42" s="0" t="s">
        <v>65</v>
      </c>
      <c r="C42" s="0" t="s">
        <v>10</v>
      </c>
      <c r="D42" s="20"/>
      <c r="E42" s="20" t="n">
        <v>250</v>
      </c>
      <c r="F42" s="20" t="n">
        <f aca="false">F41+E42+D42</f>
        <v>2471.51</v>
      </c>
      <c r="I42" s="0" t="s">
        <v>66</v>
      </c>
    </row>
    <row r="43" customFormat="false" ht="15" hidden="false" customHeight="false" outlineLevel="0" collapsed="false">
      <c r="A43" s="19" t="n">
        <v>44935</v>
      </c>
      <c r="B43" s="0" t="s">
        <v>67</v>
      </c>
      <c r="C43" s="0" t="s">
        <v>16</v>
      </c>
      <c r="D43" s="20"/>
      <c r="E43" s="20" t="n">
        <v>200</v>
      </c>
      <c r="F43" s="20" t="n">
        <f aca="false">F42+E43+D43</f>
        <v>2671.51</v>
      </c>
    </row>
    <row r="44" customFormat="false" ht="15" hidden="false" customHeight="false" outlineLevel="0" collapsed="false">
      <c r="A44" s="19" t="n">
        <v>44943</v>
      </c>
      <c r="B44" s="0" t="s">
        <v>35</v>
      </c>
      <c r="C44" s="0" t="s">
        <v>11</v>
      </c>
      <c r="D44" s="20" t="n">
        <v>-19.74</v>
      </c>
      <c r="E44" s="20"/>
      <c r="F44" s="20" t="n">
        <f aca="false">F43+E44+D44</f>
        <v>2651.77</v>
      </c>
      <c r="I44" s="0" t="s">
        <v>68</v>
      </c>
    </row>
    <row r="45" customFormat="false" ht="15" hidden="false" customHeight="false" outlineLevel="0" collapsed="false">
      <c r="A45" s="19" t="n">
        <v>44944</v>
      </c>
      <c r="B45" s="0" t="s">
        <v>69</v>
      </c>
      <c r="C45" s="0" t="s">
        <v>16</v>
      </c>
      <c r="D45" s="20"/>
      <c r="E45" s="20" t="n">
        <v>45</v>
      </c>
      <c r="F45" s="20" t="n">
        <f aca="false">F44+E45+D45</f>
        <v>2696.77</v>
      </c>
    </row>
    <row r="46" customFormat="false" ht="15" hidden="false" customHeight="false" outlineLevel="0" collapsed="false">
      <c r="A46" s="19" t="n">
        <v>44944</v>
      </c>
      <c r="B46" s="0" t="s">
        <v>69</v>
      </c>
      <c r="C46" s="0" t="s">
        <v>16</v>
      </c>
      <c r="D46" s="20"/>
      <c r="E46" s="20" t="n">
        <v>100</v>
      </c>
      <c r="F46" s="20" t="n">
        <f aca="false">F45+E46+D46</f>
        <v>2796.77</v>
      </c>
    </row>
    <row r="47" customFormat="false" ht="15" hidden="false" customHeight="false" outlineLevel="0" collapsed="false">
      <c r="A47" s="19" t="n">
        <v>44944</v>
      </c>
      <c r="B47" s="0" t="s">
        <v>69</v>
      </c>
      <c r="C47" s="0" t="s">
        <v>16</v>
      </c>
      <c r="D47" s="20"/>
      <c r="E47" s="20" t="n">
        <v>350</v>
      </c>
      <c r="F47" s="20" t="n">
        <f aca="false">F46+E47+D47</f>
        <v>3146.77</v>
      </c>
    </row>
    <row r="48" customFormat="false" ht="15" hidden="false" customHeight="false" outlineLevel="0" collapsed="false">
      <c r="A48" s="19" t="n">
        <v>44945</v>
      </c>
      <c r="B48" s="0" t="s">
        <v>70</v>
      </c>
      <c r="C48" s="0" t="s">
        <v>16</v>
      </c>
      <c r="D48" s="20"/>
      <c r="E48" s="20" t="n">
        <v>100</v>
      </c>
      <c r="F48" s="20" t="n">
        <f aca="false">F47+E48+D48</f>
        <v>3246.77</v>
      </c>
    </row>
    <row r="49" customFormat="false" ht="15" hidden="false" customHeight="false" outlineLevel="0" collapsed="false">
      <c r="A49" s="19" t="n">
        <v>44956</v>
      </c>
      <c r="B49" s="0" t="s">
        <v>71</v>
      </c>
      <c r="C49" s="0" t="s">
        <v>10</v>
      </c>
      <c r="D49" s="20"/>
      <c r="E49" s="20" t="n">
        <v>154</v>
      </c>
      <c r="F49" s="20" t="n">
        <f aca="false">F48+E49+D49</f>
        <v>3400.77</v>
      </c>
      <c r="I49" s="0" t="s">
        <v>72</v>
      </c>
    </row>
    <row r="50" customFormat="false" ht="15" hidden="false" customHeight="false" outlineLevel="0" collapsed="false">
      <c r="A50" s="19" t="n">
        <v>44956</v>
      </c>
      <c r="B50" s="0" t="s">
        <v>73</v>
      </c>
      <c r="C50" s="0" t="s">
        <v>12</v>
      </c>
      <c r="D50" s="20" t="n">
        <v>-1144</v>
      </c>
      <c r="E50" s="20"/>
      <c r="F50" s="20" t="n">
        <f aca="false">F49+E50+D50</f>
        <v>2256.77</v>
      </c>
    </row>
    <row r="51" customFormat="false" ht="15" hidden="false" customHeight="false" outlineLevel="0" collapsed="false">
      <c r="A51" s="19" t="n">
        <v>44963</v>
      </c>
      <c r="B51" s="0" t="s">
        <v>74</v>
      </c>
      <c r="C51" s="0" t="s">
        <v>10</v>
      </c>
      <c r="E51" s="20" t="n">
        <v>264</v>
      </c>
      <c r="F51" s="20" t="n">
        <f aca="false">F50+E51+D51</f>
        <v>2520.77</v>
      </c>
      <c r="I51" s="0" t="s">
        <v>75</v>
      </c>
    </row>
    <row r="52" customFormat="false" ht="15" hidden="false" customHeight="false" outlineLevel="0" collapsed="false">
      <c r="A52" s="19" t="n">
        <v>44963</v>
      </c>
      <c r="B52" s="0" t="s">
        <v>76</v>
      </c>
      <c r="C52" s="0" t="s">
        <v>10</v>
      </c>
      <c r="E52" s="20" t="n">
        <v>346.7</v>
      </c>
      <c r="F52" s="20" t="n">
        <f aca="false">F51+E52+D52</f>
        <v>2867.47</v>
      </c>
    </row>
    <row r="53" customFormat="false" ht="15" hidden="false" customHeight="false" outlineLevel="0" collapsed="false">
      <c r="A53" s="19" t="n">
        <v>44963</v>
      </c>
      <c r="B53" s="0" t="s">
        <v>77</v>
      </c>
      <c r="C53" s="0" t="s">
        <v>16</v>
      </c>
      <c r="E53" s="20" t="n">
        <v>300</v>
      </c>
      <c r="F53" s="20" t="n">
        <f aca="false">F52+E53+D53</f>
        <v>3167.47</v>
      </c>
      <c r="I53" s="0" t="s">
        <v>78</v>
      </c>
    </row>
    <row r="54" customFormat="false" ht="15" hidden="false" customHeight="false" outlineLevel="0" collapsed="false">
      <c r="A54" s="19" t="n">
        <v>44964</v>
      </c>
      <c r="B54" s="0" t="s">
        <v>79</v>
      </c>
      <c r="C54" s="0" t="s">
        <v>10</v>
      </c>
      <c r="E54" s="20" t="n">
        <v>298.7</v>
      </c>
      <c r="F54" s="20" t="n">
        <f aca="false">F53+E54+D54</f>
        <v>3466.17</v>
      </c>
      <c r="I54" s="0" t="s">
        <v>80</v>
      </c>
    </row>
    <row r="55" customFormat="false" ht="15" hidden="false" customHeight="false" outlineLevel="0" collapsed="false">
      <c r="A55" s="19" t="n">
        <v>44964</v>
      </c>
      <c r="B55" s="0" t="s">
        <v>81</v>
      </c>
      <c r="C55" s="0" t="s">
        <v>14</v>
      </c>
      <c r="D55" s="20" t="n">
        <v>-100</v>
      </c>
      <c r="F55" s="20" t="n">
        <f aca="false">F54+E55+D55</f>
        <v>3366.17</v>
      </c>
      <c r="H55" s="0" t="s">
        <v>24</v>
      </c>
      <c r="I55" s="0" t="s">
        <v>48</v>
      </c>
    </row>
    <row r="56" customFormat="false" ht="15" hidden="false" customHeight="false" outlineLevel="0" collapsed="false">
      <c r="A56" s="19" t="n">
        <v>44965</v>
      </c>
      <c r="B56" s="0" t="s">
        <v>82</v>
      </c>
      <c r="C56" s="0" t="s">
        <v>16</v>
      </c>
      <c r="E56" s="20" t="n">
        <v>200</v>
      </c>
      <c r="F56" s="20" t="n">
        <f aca="false">F55+E56+D56</f>
        <v>3566.17</v>
      </c>
      <c r="I56" s="0" t="s">
        <v>66</v>
      </c>
    </row>
    <row r="57" customFormat="false" ht="15" hidden="false" customHeight="false" outlineLevel="0" collapsed="false">
      <c r="A57" s="19" t="n">
        <v>44966</v>
      </c>
      <c r="B57" s="0" t="s">
        <v>83</v>
      </c>
      <c r="C57" s="0" t="s">
        <v>10</v>
      </c>
      <c r="E57" s="20" t="n">
        <v>253</v>
      </c>
      <c r="F57" s="20" t="n">
        <f aca="false">F56+E57+D57</f>
        <v>3819.17</v>
      </c>
      <c r="I57" s="0" t="s">
        <v>84</v>
      </c>
    </row>
    <row r="58" customFormat="false" ht="15" hidden="false" customHeight="false" outlineLevel="0" collapsed="false">
      <c r="A58" s="19" t="n">
        <v>44966</v>
      </c>
      <c r="B58" s="0" t="s">
        <v>85</v>
      </c>
      <c r="C58" s="0" t="s">
        <v>10</v>
      </c>
      <c r="E58" s="20" t="n">
        <v>206.7</v>
      </c>
      <c r="F58" s="20" t="n">
        <f aca="false">F57+E58+D58</f>
        <v>4025.87</v>
      </c>
      <c r="I58" s="0" t="s">
        <v>86</v>
      </c>
    </row>
    <row r="59" customFormat="false" ht="15" hidden="false" customHeight="false" outlineLevel="0" collapsed="false">
      <c r="A59" s="19" t="n">
        <v>44966</v>
      </c>
      <c r="B59" s="0" t="s">
        <v>87</v>
      </c>
      <c r="C59" s="0" t="s">
        <v>10</v>
      </c>
      <c r="E59" s="20" t="n">
        <v>252.7</v>
      </c>
      <c r="F59" s="20" t="n">
        <f aca="false">F58+E59+D59</f>
        <v>4278.57</v>
      </c>
      <c r="I59" s="0" t="s">
        <v>88</v>
      </c>
    </row>
    <row r="60" customFormat="false" ht="15" hidden="false" customHeight="false" outlineLevel="0" collapsed="false">
      <c r="A60" s="19" t="n">
        <v>44966</v>
      </c>
      <c r="B60" s="0" t="s">
        <v>89</v>
      </c>
      <c r="C60" s="0" t="s">
        <v>10</v>
      </c>
      <c r="E60" s="20" t="n">
        <v>298.7</v>
      </c>
      <c r="F60" s="20" t="n">
        <f aca="false">F59+E60+D60</f>
        <v>4577.27</v>
      </c>
      <c r="I60" s="0" t="s">
        <v>90</v>
      </c>
    </row>
    <row r="61" customFormat="false" ht="15" hidden="false" customHeight="false" outlineLevel="0" collapsed="false">
      <c r="A61" s="19" t="n">
        <v>44967</v>
      </c>
      <c r="B61" s="0" t="s">
        <v>91</v>
      </c>
      <c r="C61" s="0" t="s">
        <v>10</v>
      </c>
      <c r="E61" s="20" t="n">
        <v>31</v>
      </c>
      <c r="F61" s="20" t="n">
        <f aca="false">F60+E61+D61</f>
        <v>4608.27</v>
      </c>
      <c r="I61" s="0" t="s">
        <v>92</v>
      </c>
    </row>
    <row r="62" customFormat="false" ht="15" hidden="false" customHeight="false" outlineLevel="0" collapsed="false">
      <c r="A62" s="19" t="n">
        <v>44967</v>
      </c>
      <c r="B62" s="0" t="s">
        <v>93</v>
      </c>
      <c r="C62" s="0" t="s">
        <v>10</v>
      </c>
      <c r="E62" s="20" t="n">
        <v>77</v>
      </c>
      <c r="F62" s="20" t="n">
        <f aca="false">F61+E62+D62</f>
        <v>4685.27</v>
      </c>
      <c r="I62" s="0" t="s">
        <v>94</v>
      </c>
    </row>
    <row r="63" customFormat="false" ht="15" hidden="false" customHeight="false" outlineLevel="0" collapsed="false">
      <c r="A63" s="19" t="n">
        <v>44967</v>
      </c>
      <c r="B63" s="0" t="s">
        <v>95</v>
      </c>
      <c r="C63" s="0" t="s">
        <v>10</v>
      </c>
      <c r="E63" s="20" t="n">
        <v>123</v>
      </c>
      <c r="F63" s="20" t="n">
        <f aca="false">F62+E63+D63</f>
        <v>4808.27</v>
      </c>
      <c r="I63" s="0" t="s">
        <v>96</v>
      </c>
    </row>
    <row r="64" customFormat="false" ht="15" hidden="false" customHeight="false" outlineLevel="0" collapsed="false">
      <c r="A64" s="19" t="n">
        <v>44967</v>
      </c>
      <c r="B64" s="0" t="s">
        <v>97</v>
      </c>
      <c r="C64" s="0" t="s">
        <v>10</v>
      </c>
      <c r="E64" s="20" t="n">
        <v>252.7</v>
      </c>
      <c r="F64" s="20" t="n">
        <f aca="false">F63+E64+D64</f>
        <v>5060.97</v>
      </c>
      <c r="I64" s="0" t="s">
        <v>98</v>
      </c>
    </row>
    <row r="65" customFormat="false" ht="15" hidden="false" customHeight="false" outlineLevel="0" collapsed="false">
      <c r="A65" s="19" t="n">
        <v>44967</v>
      </c>
      <c r="B65" s="0" t="s">
        <v>99</v>
      </c>
      <c r="C65" s="0" t="s">
        <v>10</v>
      </c>
      <c r="E65" s="20" t="n">
        <v>298.7</v>
      </c>
      <c r="F65" s="20" t="n">
        <f aca="false">F64+E65+D65</f>
        <v>5359.67</v>
      </c>
      <c r="I65" s="0" t="s">
        <v>100</v>
      </c>
    </row>
    <row r="66" customFormat="false" ht="15" hidden="false" customHeight="false" outlineLevel="0" collapsed="false">
      <c r="A66" s="19" t="n">
        <v>44970</v>
      </c>
      <c r="B66" s="0" t="s">
        <v>101</v>
      </c>
      <c r="C66" s="0" t="s">
        <v>10</v>
      </c>
      <c r="E66" s="20" t="n">
        <v>299</v>
      </c>
      <c r="F66" s="20" t="n">
        <f aca="false">F65+E66+D66</f>
        <v>5658.67</v>
      </c>
      <c r="I66" s="0" t="s">
        <v>102</v>
      </c>
    </row>
    <row r="67" customFormat="false" ht="15" hidden="false" customHeight="false" outlineLevel="0" collapsed="false">
      <c r="A67" s="19" t="n">
        <v>44971</v>
      </c>
      <c r="B67" s="0" t="s">
        <v>103</v>
      </c>
      <c r="C67" s="0" t="s">
        <v>16</v>
      </c>
      <c r="E67" s="20" t="n">
        <v>100</v>
      </c>
      <c r="F67" s="20" t="n">
        <f aca="false">F66+E67+D67</f>
        <v>5758.67</v>
      </c>
    </row>
    <row r="68" customFormat="false" ht="15" hidden="false" customHeight="false" outlineLevel="0" collapsed="false">
      <c r="A68" s="19" t="n">
        <v>44977</v>
      </c>
      <c r="B68" s="0" t="s">
        <v>104</v>
      </c>
      <c r="C68" s="0" t="s">
        <v>10</v>
      </c>
      <c r="D68" s="20"/>
      <c r="E68" s="20" t="n">
        <v>253</v>
      </c>
      <c r="F68" s="20" t="n">
        <f aca="false">F67+E68+D68</f>
        <v>6011.67</v>
      </c>
    </row>
    <row r="69" customFormat="false" ht="15" hidden="false" customHeight="false" outlineLevel="0" collapsed="false">
      <c r="A69" s="19" t="n">
        <v>44977</v>
      </c>
      <c r="B69" s="0" t="s">
        <v>105</v>
      </c>
      <c r="C69" s="0" t="s">
        <v>12</v>
      </c>
      <c r="D69" s="20" t="n">
        <v>-600</v>
      </c>
      <c r="E69" s="20"/>
      <c r="F69" s="20" t="n">
        <f aca="false">F68+E69+D69</f>
        <v>5411.67</v>
      </c>
      <c r="I69" s="0" t="s">
        <v>106</v>
      </c>
    </row>
    <row r="70" customFormat="false" ht="15" hidden="false" customHeight="false" outlineLevel="0" collapsed="false">
      <c r="A70" s="19" t="n">
        <v>44977</v>
      </c>
      <c r="B70" s="0" t="s">
        <v>107</v>
      </c>
      <c r="C70" s="0" t="s">
        <v>16</v>
      </c>
      <c r="E70" s="20" t="n">
        <v>100</v>
      </c>
      <c r="F70" s="20" t="n">
        <f aca="false">F69+E70+D70</f>
        <v>5511.67</v>
      </c>
    </row>
    <row r="71" customFormat="false" ht="15" hidden="false" customHeight="false" outlineLevel="0" collapsed="false">
      <c r="A71" s="19" t="n">
        <v>44986</v>
      </c>
      <c r="B71" s="0" t="s">
        <v>108</v>
      </c>
      <c r="C71" s="0" t="s">
        <v>10</v>
      </c>
      <c r="D71" s="20"/>
      <c r="E71" s="20" t="n">
        <v>252.7</v>
      </c>
      <c r="F71" s="20" t="n">
        <f aca="false">F70+E71+D71</f>
        <v>5764.37</v>
      </c>
      <c r="I71" s="0" t="s">
        <v>109</v>
      </c>
    </row>
    <row r="72" customFormat="false" ht="15" hidden="false" customHeight="false" outlineLevel="0" collapsed="false">
      <c r="A72" s="19" t="n">
        <v>44991</v>
      </c>
      <c r="B72" s="0" t="s">
        <v>110</v>
      </c>
      <c r="C72" s="0" t="s">
        <v>10</v>
      </c>
      <c r="D72" s="20"/>
      <c r="E72" s="20" t="n">
        <v>252.7</v>
      </c>
      <c r="F72" s="20" t="n">
        <f aca="false">F71+E72+D72</f>
        <v>6017.07</v>
      </c>
      <c r="I72" s="0" t="s">
        <v>111</v>
      </c>
    </row>
    <row r="73" customFormat="false" ht="15" hidden="false" customHeight="false" outlineLevel="0" collapsed="false">
      <c r="A73" s="19" t="n">
        <v>44992</v>
      </c>
      <c r="B73" s="0" t="s">
        <v>112</v>
      </c>
      <c r="C73" s="0" t="s">
        <v>10</v>
      </c>
      <c r="D73" s="20"/>
      <c r="E73" s="20" t="n">
        <v>298.7</v>
      </c>
      <c r="F73" s="20" t="n">
        <f aca="false">F72+E73+D73</f>
        <v>6315.77</v>
      </c>
      <c r="I73" s="0" t="s">
        <v>113</v>
      </c>
    </row>
    <row r="74" customFormat="false" ht="15" hidden="false" customHeight="false" outlineLevel="0" collapsed="false">
      <c r="A74" s="19" t="n">
        <v>45006</v>
      </c>
      <c r="B74" s="0" t="s">
        <v>114</v>
      </c>
      <c r="C74" s="0" t="s">
        <v>10</v>
      </c>
      <c r="D74" s="20"/>
      <c r="E74" s="20" t="n">
        <v>328.7</v>
      </c>
      <c r="F74" s="20" t="n">
        <f aca="false">F73+E74+D74</f>
        <v>6644.47</v>
      </c>
    </row>
    <row r="75" customFormat="false" ht="15" hidden="false" customHeight="false" outlineLevel="0" collapsed="false">
      <c r="A75" s="19" t="n">
        <v>45013</v>
      </c>
      <c r="B75" s="0" t="s">
        <v>115</v>
      </c>
      <c r="C75" s="0" t="s">
        <v>16</v>
      </c>
      <c r="D75" s="20"/>
      <c r="E75" s="20" t="n">
        <v>800</v>
      </c>
      <c r="F75" s="20" t="n">
        <f aca="false">F74+E75+D75</f>
        <v>7444.47</v>
      </c>
    </row>
    <row r="76" customFormat="false" ht="15" hidden="false" customHeight="false" outlineLevel="0" collapsed="false">
      <c r="A76" s="19" t="n">
        <v>45027</v>
      </c>
      <c r="B76" s="0" t="s">
        <v>116</v>
      </c>
      <c r="C76" s="0" t="s">
        <v>10</v>
      </c>
      <c r="D76" s="20"/>
      <c r="E76" s="20" t="n">
        <v>298.7</v>
      </c>
      <c r="F76" s="20" t="n">
        <f aca="false">F75+E76+D76</f>
        <v>7743.17</v>
      </c>
    </row>
    <row r="77" customFormat="false" ht="15" hidden="false" customHeight="false" outlineLevel="0" collapsed="false">
      <c r="A77" s="19" t="n">
        <v>45033</v>
      </c>
      <c r="B77" s="0" t="s">
        <v>117</v>
      </c>
      <c r="C77" s="0" t="s">
        <v>8</v>
      </c>
      <c r="D77" s="20" t="n">
        <v>-270</v>
      </c>
      <c r="E77" s="20"/>
      <c r="F77" s="20" t="n">
        <f aca="false">F76+E77+D77</f>
        <v>7473.17</v>
      </c>
    </row>
    <row r="78" customFormat="false" ht="15" hidden="false" customHeight="false" outlineLevel="0" collapsed="false">
      <c r="A78" s="19" t="n">
        <v>45034</v>
      </c>
      <c r="B78" s="0" t="s">
        <v>35</v>
      </c>
      <c r="C78" s="0" t="s">
        <v>11</v>
      </c>
      <c r="D78" s="20" t="n">
        <v>-19.74</v>
      </c>
      <c r="E78" s="20"/>
      <c r="F78" s="20" t="n">
        <f aca="false">F77+E78+D78</f>
        <v>7453.43</v>
      </c>
    </row>
    <row r="79" customFormat="false" ht="15" hidden="false" customHeight="false" outlineLevel="0" collapsed="false">
      <c r="A79" s="19" t="n">
        <v>45041</v>
      </c>
      <c r="B79" s="0" t="s">
        <v>118</v>
      </c>
      <c r="C79" s="0" t="s">
        <v>10</v>
      </c>
      <c r="D79" s="20"/>
      <c r="E79" s="20" t="n">
        <v>252.7</v>
      </c>
      <c r="F79" s="20" t="n">
        <f aca="false">F78+E79+D79</f>
        <v>7706.13</v>
      </c>
    </row>
    <row r="80" customFormat="false" ht="15" hidden="false" customHeight="false" outlineLevel="0" collapsed="false">
      <c r="A80" s="19" t="n">
        <v>45042</v>
      </c>
      <c r="B80" s="0" t="s">
        <v>119</v>
      </c>
      <c r="C80" s="0" t="s">
        <v>12</v>
      </c>
      <c r="D80" s="20" t="n">
        <v>-1144</v>
      </c>
      <c r="E80" s="20"/>
      <c r="F80" s="20" t="n">
        <f aca="false">F79+E80+D80</f>
        <v>6562.13</v>
      </c>
    </row>
    <row r="81" customFormat="false" ht="15" hidden="false" customHeight="false" outlineLevel="0" collapsed="false">
      <c r="A81" s="19" t="n">
        <v>45042</v>
      </c>
      <c r="B81" s="0" t="s">
        <v>120</v>
      </c>
      <c r="C81" s="0" t="s">
        <v>14</v>
      </c>
      <c r="D81" s="20" t="n">
        <v>-800</v>
      </c>
      <c r="E81" s="20"/>
      <c r="F81" s="20" t="n">
        <f aca="false">F80+E81+D81</f>
        <v>5762.13</v>
      </c>
    </row>
    <row r="82" customFormat="false" ht="15" hidden="false" customHeight="false" outlineLevel="0" collapsed="false">
      <c r="A82" s="19" t="n">
        <v>45062</v>
      </c>
      <c r="B82" s="0" t="s">
        <v>121</v>
      </c>
      <c r="C82" s="0" t="s">
        <v>17</v>
      </c>
      <c r="D82" s="20"/>
      <c r="E82" s="20" t="n">
        <v>28</v>
      </c>
      <c r="F82" s="20" t="n">
        <f aca="false">F81+E82+D82</f>
        <v>5790.13</v>
      </c>
    </row>
    <row r="83" customFormat="false" ht="15" hidden="false" customHeight="false" outlineLevel="0" collapsed="false">
      <c r="A83" s="19" t="n">
        <v>45062</v>
      </c>
      <c r="B83" s="0" t="s">
        <v>121</v>
      </c>
      <c r="C83" s="0" t="s">
        <v>17</v>
      </c>
      <c r="D83" s="20"/>
      <c r="E83" s="20" t="n">
        <v>56.26</v>
      </c>
      <c r="F83" s="20" t="n">
        <f aca="false">F82+E83+D83</f>
        <v>5846.39</v>
      </c>
    </row>
    <row r="84" customFormat="false" ht="15" hidden="false" customHeight="false" outlineLevel="0" collapsed="false">
      <c r="A84" s="19" t="n">
        <v>45063</v>
      </c>
      <c r="B84" s="0" t="s">
        <v>69</v>
      </c>
      <c r="C84" s="0" t="s">
        <v>10</v>
      </c>
      <c r="D84" s="20"/>
      <c r="E84" s="20" t="n">
        <v>52.7</v>
      </c>
      <c r="F84" s="20" t="n">
        <f aca="false">F83+E84+D84</f>
        <v>5899.09</v>
      </c>
    </row>
    <row r="85" customFormat="false" ht="15" hidden="false" customHeight="false" outlineLevel="0" collapsed="false">
      <c r="A85" s="19" t="n">
        <v>45070</v>
      </c>
      <c r="B85" s="0" t="s">
        <v>122</v>
      </c>
      <c r="C85" s="0" t="s">
        <v>15</v>
      </c>
      <c r="D85" s="20" t="n">
        <v>-107.28</v>
      </c>
      <c r="E85" s="20"/>
      <c r="F85" s="20" t="n">
        <f aca="false">F84+E85+D85</f>
        <v>5791.81</v>
      </c>
    </row>
    <row r="86" customFormat="false" ht="15" hidden="false" customHeight="false" outlineLevel="0" collapsed="false">
      <c r="A86" s="19" t="n">
        <v>45070</v>
      </c>
      <c r="B86" s="0" t="s">
        <v>69</v>
      </c>
      <c r="C86" s="0" t="s">
        <v>16</v>
      </c>
      <c r="D86" s="20"/>
      <c r="E86" s="20" t="n">
        <v>200</v>
      </c>
      <c r="F86" s="20" t="n">
        <f aca="false">F85+E86+D86</f>
        <v>5991.81</v>
      </c>
    </row>
    <row r="87" customFormat="false" ht="15" hidden="false" customHeight="false" outlineLevel="0" collapsed="false">
      <c r="A87" s="19" t="n">
        <v>45082</v>
      </c>
      <c r="B87" s="0" t="s">
        <v>123</v>
      </c>
      <c r="C87" s="0" t="s">
        <v>13</v>
      </c>
      <c r="D87" s="20" t="n">
        <v>-111.44</v>
      </c>
      <c r="E87" s="20"/>
      <c r="F87" s="20" t="n">
        <f aca="false">F86+E87+D87</f>
        <v>5880.37</v>
      </c>
    </row>
    <row r="88" customFormat="false" ht="15" hidden="false" customHeight="false" outlineLevel="0" collapsed="false">
      <c r="A88" s="19" t="n">
        <v>45082</v>
      </c>
      <c r="B88" s="0" t="s">
        <v>121</v>
      </c>
      <c r="C88" s="0" t="s">
        <v>17</v>
      </c>
      <c r="D88" s="20"/>
      <c r="E88" s="20" t="n">
        <v>47.05</v>
      </c>
      <c r="F88" s="20" t="n">
        <f aca="false">F87+E88+D88</f>
        <v>5927.42</v>
      </c>
    </row>
    <row r="89" customFormat="false" ht="15" hidden="false" customHeight="false" outlineLevel="0" collapsed="false">
      <c r="A89" s="19" t="n">
        <v>45093</v>
      </c>
      <c r="B89" s="0" t="s">
        <v>124</v>
      </c>
      <c r="C89" s="0" t="s">
        <v>12</v>
      </c>
      <c r="D89" s="20" t="n">
        <v>-1146</v>
      </c>
      <c r="E89" s="20"/>
      <c r="F89" s="20" t="n">
        <f aca="false">F88+E89+D89</f>
        <v>4781.42</v>
      </c>
    </row>
    <row r="90" customFormat="false" ht="15" hidden="false" customHeight="false" outlineLevel="0" collapsed="false">
      <c r="A90" s="19" t="n">
        <v>45097</v>
      </c>
      <c r="B90" s="0" t="s">
        <v>117</v>
      </c>
      <c r="C90" s="0" t="s">
        <v>8</v>
      </c>
      <c r="D90" s="20" t="n">
        <v>-46</v>
      </c>
      <c r="E90" s="20"/>
      <c r="F90" s="20" t="n">
        <f aca="false">F89+E90+D90</f>
        <v>4735.42</v>
      </c>
    </row>
    <row r="91" customFormat="false" ht="15" hidden="false" customHeight="false" outlineLevel="0" collapsed="false">
      <c r="A91" s="19" t="n">
        <v>45099</v>
      </c>
      <c r="B91" s="0" t="s">
        <v>125</v>
      </c>
      <c r="C91" s="0" t="s">
        <v>17</v>
      </c>
      <c r="D91" s="20"/>
      <c r="E91" s="20" t="n">
        <v>17.8</v>
      </c>
      <c r="F91" s="20" t="n">
        <f aca="false">F90+E91+D91</f>
        <v>4753.22</v>
      </c>
    </row>
    <row r="92" customFormat="false" ht="15" hidden="false" customHeight="false" outlineLevel="0" collapsed="false">
      <c r="A92" s="19" t="n">
        <v>45113</v>
      </c>
      <c r="B92" s="0" t="s">
        <v>69</v>
      </c>
      <c r="C92" s="0" t="s">
        <v>10</v>
      </c>
      <c r="D92" s="20"/>
      <c r="E92" s="20" t="n">
        <v>100</v>
      </c>
      <c r="F92" s="20" t="n">
        <f aca="false">F91+E92+D92</f>
        <v>4853.22</v>
      </c>
    </row>
    <row r="93" customFormat="false" ht="15" hidden="false" customHeight="false" outlineLevel="0" collapsed="false">
      <c r="A93" s="19" t="n">
        <v>45125</v>
      </c>
      <c r="B93" s="0" t="s">
        <v>35</v>
      </c>
      <c r="C93" s="0" t="s">
        <v>11</v>
      </c>
      <c r="D93" s="20" t="n">
        <v>-19.74</v>
      </c>
      <c r="E93" s="20"/>
      <c r="F93" s="20" t="n">
        <f aca="false">F92+E93+D93</f>
        <v>4833.48</v>
      </c>
    </row>
    <row r="94" customFormat="false" ht="15" hidden="false" customHeight="false" outlineLevel="0" collapsed="false">
      <c r="A94" s="19" t="n">
        <v>45142</v>
      </c>
      <c r="B94" s="0" t="s">
        <v>69</v>
      </c>
      <c r="C94" s="0" t="s">
        <v>10</v>
      </c>
      <c r="D94" s="20"/>
      <c r="E94" s="20" t="n">
        <v>100</v>
      </c>
      <c r="F94" s="20" t="n">
        <f aca="false">F93+E94+D94</f>
        <v>4933.48</v>
      </c>
    </row>
    <row r="95" customFormat="false" ht="15" hidden="false" customHeight="false" outlineLevel="0" collapsed="false">
      <c r="A95" s="19" t="n">
        <v>45161</v>
      </c>
      <c r="B95" s="0" t="s">
        <v>126</v>
      </c>
      <c r="C95" s="0" t="s">
        <v>9</v>
      </c>
      <c r="D95" s="20" t="n">
        <v>-431.4</v>
      </c>
      <c r="E95" s="20"/>
      <c r="F95" s="20" t="n">
        <f aca="false">F94+E95+D95</f>
        <v>4502.08</v>
      </c>
    </row>
    <row r="96" customFormat="false" ht="15" hidden="false" customHeight="false" outlineLevel="0" collapsed="false">
      <c r="A96" s="19" t="n">
        <v>45173</v>
      </c>
      <c r="B96" s="0" t="s">
        <v>117</v>
      </c>
      <c r="C96" s="0" t="s">
        <v>14</v>
      </c>
      <c r="D96" s="20" t="n">
        <v>-700</v>
      </c>
      <c r="E96" s="20"/>
      <c r="F96" s="20" t="n">
        <f aca="false">F95+E96+D96</f>
        <v>3802.08</v>
      </c>
    </row>
    <row r="97" customFormat="false" ht="15" hidden="false" customHeight="false" outlineLevel="0" collapsed="false">
      <c r="A97" s="19" t="n">
        <v>45189</v>
      </c>
      <c r="B97" s="0" t="s">
        <v>125</v>
      </c>
      <c r="C97" s="0" t="s">
        <v>17</v>
      </c>
      <c r="D97" s="20"/>
      <c r="E97" s="20" t="n">
        <v>24.86</v>
      </c>
      <c r="F97" s="20" t="n">
        <f aca="false">F96+E97+D97</f>
        <v>3826.94</v>
      </c>
    </row>
    <row r="98" customFormat="false" ht="15" hidden="false" customHeight="false" outlineLevel="0" collapsed="false">
      <c r="A98" s="19" t="n">
        <v>45195</v>
      </c>
      <c r="B98" s="0" t="s">
        <v>127</v>
      </c>
      <c r="C98" s="0" t="s">
        <v>8</v>
      </c>
      <c r="D98" s="20"/>
      <c r="E98" s="20" t="n">
        <v>30</v>
      </c>
      <c r="F98" s="20" t="n">
        <f aca="false">F97+E98+D98</f>
        <v>3856.94</v>
      </c>
    </row>
    <row r="99" customFormat="false" ht="15" hidden="false" customHeight="false" outlineLevel="0" collapsed="false">
      <c r="A99" s="19" t="n">
        <v>45212</v>
      </c>
      <c r="B99" s="0" t="s">
        <v>128</v>
      </c>
      <c r="C99" s="0" t="s">
        <v>15</v>
      </c>
      <c r="D99" s="20" t="n">
        <v>-270</v>
      </c>
      <c r="E99" s="20"/>
      <c r="F99" s="20" t="n">
        <f aca="false">F98+E99+D99</f>
        <v>3586.94</v>
      </c>
    </row>
    <row r="100" customFormat="false" ht="15" hidden="false" customHeight="false" outlineLevel="0" collapsed="false">
      <c r="A100" s="19" t="n">
        <v>45216</v>
      </c>
      <c r="B100" s="0" t="s">
        <v>35</v>
      </c>
      <c r="C100" s="0" t="s">
        <v>11</v>
      </c>
      <c r="D100" s="20" t="n">
        <v>-19.74</v>
      </c>
      <c r="E100" s="20"/>
      <c r="F100" s="20" t="n">
        <f aca="false">F99+E100+D100</f>
        <v>3567.2</v>
      </c>
    </row>
    <row r="101" customFormat="false" ht="15" hidden="false" customHeight="false" outlineLevel="0" collapsed="false">
      <c r="A101" s="19" t="n">
        <v>45225</v>
      </c>
      <c r="B101" s="0" t="s">
        <v>129</v>
      </c>
      <c r="C101" s="0" t="s">
        <v>130</v>
      </c>
      <c r="D101" s="20" t="n">
        <v>-3257.2</v>
      </c>
      <c r="E101" s="20"/>
      <c r="F101" s="20" t="e">
        <f aca="false">#REF!+E101+D101</f>
        <v>#REF!</v>
      </c>
    </row>
    <row r="102" customFormat="false" ht="15" hidden="false" customHeight="false" outlineLevel="0" collapsed="false">
      <c r="A102" s="19" t="n">
        <v>45225</v>
      </c>
      <c r="B102" s="0" t="s">
        <v>129</v>
      </c>
      <c r="C102" s="0" t="s">
        <v>130</v>
      </c>
      <c r="D102" s="20" t="n">
        <v>-200</v>
      </c>
      <c r="E102" s="20"/>
      <c r="F102" s="20" t="e">
        <f aca="false">F101+E102+D102</f>
        <v>#REF!</v>
      </c>
    </row>
    <row r="103" customFormat="false" ht="15" hidden="false" customHeight="false" outlineLevel="1" collapsed="false"/>
  </sheetData>
  <autoFilter ref="A1:F102">
    <sortState ref="A2:F102">
      <sortCondition ref="A2:A102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Collabora_Office/23.05.5.20231029$Linux_X86_64 LibreOffice_project/3ef576f21213c6c5c63e84b04853a1a8a85fe74f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2023-10-30T10:26:37Z</dcterms:created>
  <dc:creator>AUER Francois-Regis</dc:creator>
  <dc:description/>
  <dc:language>fr-FR</dc:language>
  <cp:lastModifiedBy/>
  <dcterms:modified xsi:type="dcterms:W3CDTF">2023-11-01T09:27:26Z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