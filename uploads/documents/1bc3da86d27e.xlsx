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8_{7563B4CB-3494-094E-ACA4-DDACDE70ABC2}" xr6:coauthVersionLast="47" xr6:coauthVersionMax="47" xr10:uidLastSave="{00000000-0000-0000-0000-000000000000}"/>
  <bookViews>
    <workbookView xWindow="5880" yWindow="2040" windowWidth="25380" windowHeight="16280" xr2:uid="{DE43C1B8-BC72-407E-9CEE-F0E9D54C483A}"/>
  </bookViews>
  <sheets>
    <sheet name="Cpte résultat" sheetId="3" r:id="rId1"/>
    <sheet name="Charges" sheetId="1" r:id="rId2"/>
    <sheet name="Produi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M21" i="2" s="1"/>
  <c r="O21" i="2" s="1"/>
  <c r="L22" i="2"/>
  <c r="L23" i="2"/>
  <c r="L24" i="2"/>
  <c r="L25" i="2"/>
  <c r="M25" i="2" s="1"/>
  <c r="O25" i="2" s="1"/>
  <c r="L26" i="2"/>
  <c r="L27" i="2"/>
  <c r="L28" i="2"/>
  <c r="L4" i="2"/>
  <c r="M4" i="2" s="1"/>
  <c r="O4" i="2" s="1"/>
  <c r="P27" i="2"/>
  <c r="P26" i="2"/>
  <c r="P25" i="2"/>
  <c r="P24" i="2"/>
  <c r="P22" i="2"/>
  <c r="P21" i="2"/>
  <c r="P20" i="2"/>
  <c r="P19" i="2"/>
  <c r="P9" i="2"/>
  <c r="P8" i="2"/>
  <c r="P7" i="2"/>
  <c r="F21" i="2"/>
  <c r="B52" i="1"/>
  <c r="B53" i="1"/>
  <c r="N32" i="2"/>
  <c r="B12" i="2" s="1"/>
  <c r="G13" i="3" s="1"/>
  <c r="B23" i="1"/>
  <c r="R28" i="1"/>
  <c r="B10" i="3"/>
  <c r="M6" i="2" l="1"/>
  <c r="O6" i="2" s="1"/>
  <c r="M17" i="2"/>
  <c r="O17" i="2" s="1"/>
  <c r="M19" i="2"/>
  <c r="O19" i="2" s="1"/>
  <c r="M5" i="2"/>
  <c r="O5" i="2" s="1"/>
  <c r="M7" i="2"/>
  <c r="O7" i="2" s="1"/>
  <c r="M8" i="2"/>
  <c r="O8" i="2" s="1"/>
  <c r="M9" i="2"/>
  <c r="O9" i="2" s="1"/>
  <c r="O10" i="2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8" i="2"/>
  <c r="O18" i="2" s="1"/>
  <c r="M20" i="2"/>
  <c r="O20" i="2" s="1"/>
  <c r="M22" i="2"/>
  <c r="O22" i="2" s="1"/>
  <c r="M23" i="2"/>
  <c r="O23" i="2" s="1"/>
  <c r="M24" i="2"/>
  <c r="O24" i="2" s="1"/>
  <c r="M26" i="2"/>
  <c r="O26" i="2" s="1"/>
  <c r="M27" i="2"/>
  <c r="O27" i="2" s="1"/>
  <c r="M28" i="2"/>
  <c r="O28" i="2" s="1"/>
  <c r="F37" i="2"/>
  <c r="B15" i="2" s="1"/>
  <c r="G16" i="3" s="1"/>
  <c r="G15" i="3" s="1"/>
  <c r="F80" i="2"/>
  <c r="B18" i="2" s="1"/>
  <c r="G19" i="3" s="1"/>
  <c r="F65" i="2"/>
  <c r="B17" i="2" s="1"/>
  <c r="G18" i="3" s="1"/>
  <c r="G17" i="3" s="1"/>
  <c r="F51" i="2"/>
  <c r="B13" i="2" s="1"/>
  <c r="B10" i="2" s="1"/>
  <c r="B9" i="2"/>
  <c r="G7" i="3"/>
  <c r="G6" i="3"/>
  <c r="B4" i="2"/>
  <c r="C36" i="3"/>
  <c r="C35" i="3"/>
  <c r="C12" i="3"/>
  <c r="B8" i="1"/>
  <c r="R42" i="1"/>
  <c r="B37" i="1" s="1"/>
  <c r="C22" i="3" s="1"/>
  <c r="R15" i="1"/>
  <c r="C9" i="3"/>
  <c r="F15" i="1"/>
  <c r="B5" i="1" s="1"/>
  <c r="C6" i="3" s="1"/>
  <c r="N15" i="1"/>
  <c r="B7" i="1" s="1"/>
  <c r="C8" i="3" s="1"/>
  <c r="J15" i="1"/>
  <c r="B6" i="1" s="1"/>
  <c r="C7" i="3" s="1"/>
  <c r="N56" i="1"/>
  <c r="J56" i="1"/>
  <c r="F56" i="1"/>
  <c r="B48" i="1" s="1"/>
  <c r="C34" i="3" s="1"/>
  <c r="AH42" i="1"/>
  <c r="B42" i="1" s="1"/>
  <c r="C27" i="3" s="1"/>
  <c r="AD42" i="1"/>
  <c r="B41" i="1" s="1"/>
  <c r="C26" i="3" s="1"/>
  <c r="Z42" i="1"/>
  <c r="B39" i="1" s="1"/>
  <c r="C24" i="3" s="1"/>
  <c r="V42" i="1"/>
  <c r="B38" i="1" s="1"/>
  <c r="C23" i="3" s="1"/>
  <c r="N42" i="1"/>
  <c r="B35" i="1" s="1"/>
  <c r="C20" i="3" s="1"/>
  <c r="F42" i="1"/>
  <c r="B32" i="1" s="1"/>
  <c r="C17" i="3" s="1"/>
  <c r="J42" i="1"/>
  <c r="B34" i="1" s="1"/>
  <c r="C19" i="3" s="1"/>
  <c r="N28" i="1"/>
  <c r="B22" i="1" s="1"/>
  <c r="C14" i="3" s="1"/>
  <c r="J28" i="1"/>
  <c r="B21" i="1" s="1"/>
  <c r="C13" i="3" s="1"/>
  <c r="F28" i="1"/>
  <c r="B20" i="1" s="1"/>
  <c r="B5" i="3"/>
  <c r="B51" i="1"/>
  <c r="B33" i="3"/>
  <c r="B30" i="3"/>
  <c r="B16" i="3"/>
  <c r="F17" i="3"/>
  <c r="F15" i="3"/>
  <c r="G11" i="3"/>
  <c r="F11" i="3"/>
  <c r="F5" i="3"/>
  <c r="B47" i="1" l="1"/>
  <c r="C31" i="3" s="1"/>
  <c r="C30" i="3" s="1"/>
  <c r="O32" i="2"/>
  <c r="B14" i="2"/>
  <c r="B16" i="2"/>
  <c r="C10" i="3"/>
  <c r="G5" i="3"/>
  <c r="G22" i="3" s="1"/>
  <c r="C33" i="3"/>
  <c r="C16" i="3"/>
  <c r="C5" i="3"/>
  <c r="B18" i="1"/>
  <c r="B31" i="1"/>
  <c r="B4" i="1"/>
  <c r="B39" i="3"/>
  <c r="F22" i="3"/>
  <c r="C39" i="3" l="1"/>
  <c r="C40" i="3" s="1"/>
  <c r="C41" i="3" s="1"/>
  <c r="B40" i="3"/>
  <c r="B41" i="3" s="1"/>
</calcChain>
</file>

<file path=xl/sharedStrings.xml><?xml version="1.0" encoding="utf-8"?>
<sst xmlns="http://schemas.openxmlformats.org/spreadsheetml/2006/main" count="340" uniqueCount="207">
  <si>
    <t>CHARGES</t>
  </si>
  <si>
    <t>PRODUITS</t>
  </si>
  <si>
    <t>60. Achats</t>
  </si>
  <si>
    <t>70. Ventes de prod. fabriqués, prest. services, marchandises</t>
  </si>
  <si>
    <t>701. Billeterie BO membres</t>
  </si>
  <si>
    <t>701. Billeterie BO visiteurs</t>
  </si>
  <si>
    <t>71. Production stockée</t>
  </si>
  <si>
    <t>72. Production immobilisée</t>
  </si>
  <si>
    <t>74. Subventions d'exploitation</t>
  </si>
  <si>
    <t>75. Autres produits de gestion courante</t>
  </si>
  <si>
    <t>756. Cotisations</t>
  </si>
  <si>
    <t>61. Services extérieurs</t>
  </si>
  <si>
    <t>7561. Cotisations membres</t>
  </si>
  <si>
    <t>613. Locations</t>
  </si>
  <si>
    <t>758. Produits divers de gestion courante</t>
  </si>
  <si>
    <t>6132. Locations immobilières fixe</t>
  </si>
  <si>
    <t>76. Produits financiers</t>
  </si>
  <si>
    <t>768. Autres produits financiers.</t>
  </si>
  <si>
    <t>77. Produits exceptionnels</t>
  </si>
  <si>
    <t>6132. Locations immobilières variables (Fête familiale)</t>
  </si>
  <si>
    <t>62. Autres services extérieurs</t>
  </si>
  <si>
    <t>625. Déplacements, missions et réceptions</t>
  </si>
  <si>
    <t>6251. Voyages et déplacements (Convent, Congrès régional)</t>
  </si>
  <si>
    <t>626. Frais postaux et de télécommunications</t>
  </si>
  <si>
    <t>6261. Affranchissements</t>
  </si>
  <si>
    <t>78. Reprises sur amortis., dépréciations et provisions</t>
  </si>
  <si>
    <t>6262. Abonnement Mailing/Cloud</t>
  </si>
  <si>
    <t>79. Transferts de charges</t>
  </si>
  <si>
    <t>627. Services bancaires et assimilés</t>
  </si>
  <si>
    <t>TOTAL PRODUITS</t>
  </si>
  <si>
    <t>62780. Autres frais et commissions sur prest. de service (comptes)</t>
  </si>
  <si>
    <t>62780. Autres frais et commissions sur prest. de service (CB)</t>
  </si>
  <si>
    <t>628. Divers</t>
  </si>
  <si>
    <t>6281. Concours divers (cotisations + droits GODF)</t>
  </si>
  <si>
    <t>6281. Concours divers (cotisations CAALA)</t>
  </si>
  <si>
    <t>63. Impôts, taxes et versements assimilés</t>
  </si>
  <si>
    <t>64. Charges de personnel</t>
  </si>
  <si>
    <t>65. Autres charges de gestion courante</t>
  </si>
  <si>
    <t>658. Charges diverses : versements au compte de solidarité</t>
  </si>
  <si>
    <t>66. Charges financières</t>
  </si>
  <si>
    <t>67. Charges exceptionnelles</t>
  </si>
  <si>
    <t>6721. Autres charges exceptionnelles (fleurs obsèques)</t>
  </si>
  <si>
    <t>68. Dotation. aux amortis., dépréciations et provisions</t>
  </si>
  <si>
    <t>69. Particip. Des salariés - Impôts sur les bénéf. et assimilés</t>
  </si>
  <si>
    <t>TOTAL CHARGES HORS RESULTAT</t>
  </si>
  <si>
    <t>RESULTAT</t>
  </si>
  <si>
    <t>TOTAL CHARGES</t>
  </si>
  <si>
    <t>Budget 2023</t>
  </si>
  <si>
    <t>CR 2023</t>
  </si>
  <si>
    <t>6064. Fournitures admin.</t>
  </si>
  <si>
    <t>6063. Fournitures d’entr.et de petit équipement.</t>
  </si>
  <si>
    <t>6132. Locations immobilières variables Mousson</t>
  </si>
  <si>
    <t>671. Solidarité : don à la Fondation du GODF</t>
  </si>
  <si>
    <t>6068. Autres matières et fournitures.</t>
  </si>
  <si>
    <t>Montant</t>
  </si>
  <si>
    <t>6132. Locations immobilières variables (autre)</t>
  </si>
  <si>
    <t>602. Achats stockés – Autres approvisionnements (Banquet d'Ordre)</t>
  </si>
  <si>
    <t>Date</t>
  </si>
  <si>
    <t>TOTAL</t>
  </si>
  <si>
    <t>6132 Loc. fixe - Objet</t>
  </si>
  <si>
    <t>6132 Loc. variable - Objet</t>
  </si>
  <si>
    <t>6132. Locations immobilières variables (Mousson)</t>
  </si>
  <si>
    <t>6132 Loc. autre - Objet</t>
  </si>
  <si>
    <t>625 Dépl. - Objet</t>
  </si>
  <si>
    <t>6262 Mail./Cloud. - Objet</t>
  </si>
  <si>
    <t>62780 Frais gest. CB - Objet</t>
  </si>
  <si>
    <t>62780 Frais gest. banq. - Objet</t>
  </si>
  <si>
    <t>62780 Concours divers - Objet</t>
  </si>
  <si>
    <t>6283. Concours divers (contribution tenue commune par ex.)</t>
  </si>
  <si>
    <t>62780 Cotis. + droits GODF - Objet</t>
  </si>
  <si>
    <t>62780 Cotis. + droits CAALA - Objet</t>
  </si>
  <si>
    <t>6721. Autres charges exceptionnelles (fleurs ...)</t>
  </si>
  <si>
    <t>6261 Affranch. - Objet</t>
  </si>
  <si>
    <t>Factures GODF</t>
  </si>
  <si>
    <t>Factures CAALA</t>
  </si>
  <si>
    <t>Notes de frais</t>
  </si>
  <si>
    <t>Timbres, recommandés</t>
  </si>
  <si>
    <t>Frais carte bancaire</t>
  </si>
  <si>
    <t>Frais fixes de location</t>
  </si>
  <si>
    <t>Location Mousson</t>
  </si>
  <si>
    <t>Location autre local</t>
  </si>
  <si>
    <t>Petit matériel</t>
  </si>
  <si>
    <t>Fournitures bureau</t>
  </si>
  <si>
    <t>Autres achats</t>
  </si>
  <si>
    <t>658. Charges diverses : versements au cte de solidarité par ex.</t>
  </si>
  <si>
    <t>658 Charg. div. - Objet</t>
  </si>
  <si>
    <t>6721 Autres ch. excep. - Objet</t>
  </si>
  <si>
    <t>671 Solidarité. - Objet</t>
  </si>
  <si>
    <t>Dons, médailles</t>
  </si>
  <si>
    <t>602 - Autres appro.</t>
  </si>
  <si>
    <t>Frais gestion compte bancaire</t>
  </si>
  <si>
    <t>Abonnement cloud…</t>
  </si>
  <si>
    <t>Charges diverses</t>
  </si>
  <si>
    <t>Fleurs / obsèques…</t>
  </si>
  <si>
    <t>6063 - Fourn.</t>
  </si>
  <si>
    <t>6063. Fournitures d’entretien et de petit équipement</t>
  </si>
  <si>
    <t>6064 - Fourn. Adm.</t>
  </si>
  <si>
    <t>6064 - Autres</t>
  </si>
  <si>
    <t>FACTURES</t>
  </si>
  <si>
    <t xml:space="preserve">77185. Remboursement trop perçu </t>
  </si>
  <si>
    <t>77181. Autres prod. except. sur op. de gestion</t>
  </si>
  <si>
    <t>COMPTE DE RESULTAT 2023</t>
  </si>
  <si>
    <t>ASSOCIATION - LES AMIS DE SOCRATE</t>
  </si>
  <si>
    <t>671. Solidarité : don à la Fondation du GODF par ex.</t>
  </si>
  <si>
    <t>6725. Autres charges exceptionnelles</t>
  </si>
  <si>
    <t>77185. Remboursement / trop perçu</t>
  </si>
  <si>
    <t>Remboursements (GODF…)</t>
  </si>
  <si>
    <t>Intérêts compte épargne</t>
  </si>
  <si>
    <t>AGNOUNA ONANA</t>
  </si>
  <si>
    <t>Alphonse</t>
  </si>
  <si>
    <t>AUER</t>
  </si>
  <si>
    <t>François Régis</t>
  </si>
  <si>
    <t>BUR</t>
  </si>
  <si>
    <t>Patrick</t>
  </si>
  <si>
    <t>Christophe</t>
  </si>
  <si>
    <t>Alain</t>
  </si>
  <si>
    <t>CHANSON</t>
  </si>
  <si>
    <t>Claire</t>
  </si>
  <si>
    <t>Florence</t>
  </si>
  <si>
    <t>CORNELISE</t>
  </si>
  <si>
    <t>Tristan</t>
  </si>
  <si>
    <t>Gilles</t>
  </si>
  <si>
    <t>DEL VECCHIO</t>
  </si>
  <si>
    <t>Jean Pierre</t>
  </si>
  <si>
    <t>DILLENSCHNEIDER</t>
  </si>
  <si>
    <t>Michel</t>
  </si>
  <si>
    <t>DUBOIS</t>
  </si>
  <si>
    <t>Jean-Luc</t>
  </si>
  <si>
    <t>Nicolas</t>
  </si>
  <si>
    <t>FAIVRE</t>
  </si>
  <si>
    <t>Dominique</t>
  </si>
  <si>
    <t>Thomas</t>
  </si>
  <si>
    <t>LEBOSSÉ</t>
  </si>
  <si>
    <t>Cédric</t>
  </si>
  <si>
    <t>Christian</t>
  </si>
  <si>
    <t>POIAREZ</t>
  </si>
  <si>
    <t>Jean Claude</t>
  </si>
  <si>
    <t xml:space="preserve">ROCHE </t>
  </si>
  <si>
    <t>Valérie</t>
  </si>
  <si>
    <t>Ariane</t>
  </si>
  <si>
    <t>BUTTERLIN</t>
  </si>
  <si>
    <t>CADONA</t>
  </si>
  <si>
    <t>CLERC</t>
  </si>
  <si>
    <t>DANGOUMAU</t>
  </si>
  <si>
    <t>DARDENNE</t>
  </si>
  <si>
    <t>IBBA</t>
  </si>
  <si>
    <t>KLEIN</t>
  </si>
  <si>
    <t>REYTER</t>
  </si>
  <si>
    <t>SUSSET</t>
  </si>
  <si>
    <t>TRUFFERT</t>
  </si>
  <si>
    <t>GUERNE</t>
  </si>
  <si>
    <t>LUZERNE</t>
  </si>
  <si>
    <t>NOM</t>
  </si>
  <si>
    <t>Prénom</t>
  </si>
  <si>
    <t>DUPONT</t>
  </si>
  <si>
    <t>Jean-Marc</t>
  </si>
  <si>
    <t>Grégory</t>
  </si>
  <si>
    <t>GODF</t>
  </si>
  <si>
    <t>CAALA</t>
  </si>
  <si>
    <t>SOCRATE</t>
  </si>
  <si>
    <t>TOTAL DÛ</t>
  </si>
  <si>
    <t>616. Primes d'assurances</t>
  </si>
  <si>
    <t>Assurances</t>
  </si>
  <si>
    <t>Pour les affiliés, pas de cotisations GODF et CAALA</t>
  </si>
  <si>
    <t>PAYÉ</t>
  </si>
  <si>
    <t>SOLDE</t>
  </si>
  <si>
    <r>
      <t>SOMMES PER</t>
    </r>
    <r>
      <rPr>
        <b/>
        <sz val="20"/>
        <color theme="1"/>
        <rFont val="Calibri"/>
        <family val="2"/>
      </rPr>
      <t>ÇUES</t>
    </r>
  </si>
  <si>
    <t>Médailles reçues</t>
  </si>
  <si>
    <t>Paiements de droits et décors impétrants par ex.</t>
  </si>
  <si>
    <t>Pas de tableau concernant les billeteries : à concevoir le cas échéant</t>
  </si>
  <si>
    <t>Tabeau rempli automatiquement à partir des comptes saisis</t>
  </si>
  <si>
    <t>Tabeau rempli automatiquement à partir des charges et produits saisis</t>
  </si>
  <si>
    <t>Dépenses banquet d'ordre</t>
  </si>
  <si>
    <t>Harmonie Esperance</t>
  </si>
  <si>
    <t>Amis de Regle et l'infini</t>
  </si>
  <si>
    <t>Noble Amitié</t>
  </si>
  <si>
    <t>Medaille Saint Antoine et des Amis Réunis</t>
  </si>
  <si>
    <t>Double Union medaille</t>
  </si>
  <si>
    <t>Remise de cheques</t>
  </si>
  <si>
    <t>Asso Philosophique Loge Paris</t>
  </si>
  <si>
    <t>Amour et Liberté Medaille</t>
  </si>
  <si>
    <t>Remsie cheques</t>
  </si>
  <si>
    <t>Cairn et Acacia</t>
  </si>
  <si>
    <t>Vitruve</t>
  </si>
  <si>
    <t>Medailel CAALA</t>
  </si>
  <si>
    <t>Caala solidarité</t>
  </si>
  <si>
    <t>Cheque catherine Agapes</t>
  </si>
  <si>
    <t>Rbst Michele Pierson</t>
  </si>
  <si>
    <t>Rbst JM Mithouard</t>
  </si>
  <si>
    <t>Cheque</t>
  </si>
  <si>
    <t>Cheque solidarité + Frais</t>
  </si>
  <si>
    <t>Paiement 1er Trim GODF</t>
  </si>
  <si>
    <t>Rbst avance GODF FR AUER</t>
  </si>
  <si>
    <t>Paiement 2ème Trimestre</t>
  </si>
  <si>
    <t>Paiement 3ème trimestre capitation</t>
  </si>
  <si>
    <t>Frais convent</t>
  </si>
  <si>
    <t>Cotisation Adispo Asso Classique</t>
  </si>
  <si>
    <t>Adhesion Credit mutuel</t>
  </si>
  <si>
    <t>Resiliation Banque Postale</t>
  </si>
  <si>
    <t>LWS Internet</t>
  </si>
  <si>
    <t>DEVILLY Allumage</t>
  </si>
  <si>
    <t>Paiement Salle Mousson</t>
  </si>
  <si>
    <t>Rbst Ariane T Pixarprinting</t>
  </si>
  <si>
    <t>Achat tapis de Loge Comp</t>
  </si>
  <si>
    <t>Virement tapuis maitre Paemelaire</t>
  </si>
  <si>
    <t>TDV 1</t>
  </si>
  <si>
    <t>TDV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</si>
</sst>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_);[Red]\(#,##0.00\ &quot;€&quot;\)"/>
    <numFmt numFmtId="44" formatCode="_ * #,##0.00_)\ &quot;€&quot;_ ;_ * \(#,##0.00\)\ &quot;€&quot;_ ;_ * &quot;-&quot;??_)\ &quot;€&quot;_ ;_ @_ "/>
    <numFmt numFmtId="164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4" fontId="4" fillId="4" borderId="6" xfId="0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7" xfId="0" applyBorder="1" applyAlignment="1">
      <alignment horizontal="left" vertical="center" indent="1"/>
    </xf>
    <xf numFmtId="164" fontId="0" fillId="5" borderId="8" xfId="0" applyNumberFormat="1" applyFill="1" applyBorder="1" applyAlignment="1">
      <alignment vertical="center"/>
    </xf>
    <xf numFmtId="164" fontId="5" fillId="6" borderId="9" xfId="0" applyNumberFormat="1" applyFont="1" applyFill="1" applyBorder="1" applyAlignment="1">
      <alignment vertical="center"/>
    </xf>
    <xf numFmtId="164" fontId="0" fillId="5" borderId="8" xfId="0" applyNumberForma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 indent="3"/>
    </xf>
    <xf numFmtId="0" fontId="7" fillId="2" borderId="7" xfId="0" applyFont="1" applyFill="1" applyBorder="1" applyAlignment="1">
      <alignment vertical="center"/>
    </xf>
    <xf numFmtId="164" fontId="8" fillId="3" borderId="8" xfId="0" applyNumberFormat="1" applyFont="1" applyFill="1" applyBorder="1" applyAlignment="1">
      <alignment vertical="center"/>
    </xf>
    <xf numFmtId="164" fontId="8" fillId="4" borderId="9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64" fontId="1" fillId="3" borderId="8" xfId="0" applyNumberFormat="1" applyFont="1" applyFill="1" applyBorder="1" applyAlignment="1">
      <alignment vertical="center"/>
    </xf>
    <xf numFmtId="164" fontId="4" fillId="4" borderId="9" xfId="0" applyNumberFormat="1" applyFont="1" applyFill="1" applyBorder="1" applyAlignment="1">
      <alignment vertical="center"/>
    </xf>
    <xf numFmtId="164" fontId="0" fillId="5" borderId="8" xfId="0" applyNumberFormat="1" applyFill="1" applyBorder="1" applyAlignment="1">
      <alignment horizontal="right" vertical="center" indent="1"/>
    </xf>
    <xf numFmtId="0" fontId="0" fillId="0" borderId="7" xfId="0" applyBorder="1" applyAlignment="1">
      <alignment horizontal="left" vertical="center" indent="3"/>
    </xf>
    <xf numFmtId="164" fontId="1" fillId="5" borderId="8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/>
    </xf>
    <xf numFmtId="164" fontId="8" fillId="3" borderId="11" xfId="0" applyNumberFormat="1" applyFont="1" applyFill="1" applyBorder="1" applyAlignment="1">
      <alignment vertical="center"/>
    </xf>
    <xf numFmtId="164" fontId="8" fillId="4" borderId="12" xfId="0" applyNumberFormat="1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1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164" fontId="9" fillId="2" borderId="3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0" fillId="0" borderId="8" xfId="0" applyBorder="1"/>
    <xf numFmtId="0" fontId="0" fillId="7" borderId="8" xfId="0" applyFill="1" applyBorder="1"/>
    <xf numFmtId="0" fontId="0" fillId="5" borderId="8" xfId="0" applyFill="1" applyBorder="1"/>
    <xf numFmtId="0" fontId="6" fillId="0" borderId="0" xfId="0" applyFont="1" applyAlignment="1">
      <alignment horizontal="left" vertical="center" indent="3"/>
    </xf>
    <xf numFmtId="0" fontId="0" fillId="8" borderId="8" xfId="0" applyFill="1" applyBorder="1"/>
    <xf numFmtId="0" fontId="6" fillId="0" borderId="0" xfId="0" applyFont="1"/>
    <xf numFmtId="0" fontId="0" fillId="3" borderId="8" xfId="0" applyFill="1" applyBorder="1"/>
    <xf numFmtId="0" fontId="1" fillId="0" borderId="0" xfId="0" applyFont="1"/>
    <xf numFmtId="0" fontId="10" fillId="0" borderId="0" xfId="0" applyFont="1"/>
    <xf numFmtId="0" fontId="11" fillId="0" borderId="0" xfId="0" applyFont="1"/>
    <xf numFmtId="0" fontId="1" fillId="3" borderId="8" xfId="0" applyFont="1" applyFill="1" applyBorder="1"/>
    <xf numFmtId="2" fontId="0" fillId="0" borderId="8" xfId="0" applyNumberFormat="1" applyBorder="1"/>
    <xf numFmtId="2" fontId="0" fillId="0" borderId="0" xfId="0" applyNumberFormat="1"/>
    <xf numFmtId="0" fontId="0" fillId="7" borderId="8" xfId="0" applyFill="1" applyBorder="1" applyAlignment="1">
      <alignment horizontal="right"/>
    </xf>
    <xf numFmtId="2" fontId="0" fillId="3" borderId="8" xfId="0" applyNumberFormat="1" applyFill="1" applyBorder="1"/>
    <xf numFmtId="0" fontId="1" fillId="3" borderId="8" xfId="0" applyFont="1" applyFill="1" applyBorder="1" applyAlignment="1">
      <alignment horizontal="center"/>
    </xf>
    <xf numFmtId="0" fontId="13" fillId="0" borderId="0" xfId="0" applyFont="1"/>
    <xf numFmtId="0" fontId="0" fillId="5" borderId="8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44" fontId="14" fillId="0" borderId="0" xfId="1" applyBorder="1" applyProtection="1"/>
    <xf numFmtId="14" fontId="0" fillId="0" borderId="8" xfId="0" applyNumberFormat="1" applyBorder="1"/>
    <xf numFmtId="8" fontId="0" fillId="0" borderId="8" xfId="0" applyNumberForma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98D0-F868-4BEC-BC7C-CA03399C8184}">
  <dimension ref="A1:J47"/>
  <sheetViews>
    <sheetView tabSelected="1" topLeftCell="A10" workbookViewId="0">
      <selection activeCell="E33" sqref="E33"/>
    </sheetView>
  </sheetViews>
  <sheetFormatPr baseColWidth="10" defaultColWidth="11.5" defaultRowHeight="15" x14ac:dyDescent="0.2"/>
  <cols>
    <col min="1" max="1" width="64.5" style="1" bestFit="1" customWidth="1"/>
    <col min="2" max="2" width="11.1640625" style="11" bestFit="1" customWidth="1"/>
    <col min="3" max="3" width="10.5" style="37" bestFit="1" customWidth="1"/>
    <col min="4" max="4" width="1.5" style="11" customWidth="1"/>
    <col min="5" max="5" width="60" style="11" bestFit="1" customWidth="1"/>
    <col min="6" max="6" width="10.5" style="11" bestFit="1" customWidth="1"/>
    <col min="7" max="7" width="10.5" style="33" bestFit="1" customWidth="1"/>
    <col min="8" max="16384" width="11.5" style="1"/>
  </cols>
  <sheetData>
    <row r="1" spans="1:9" ht="19" x14ac:dyDescent="0.2">
      <c r="A1" s="66" t="s">
        <v>102</v>
      </c>
      <c r="B1" s="66"/>
      <c r="C1" s="66"/>
      <c r="D1" s="66"/>
      <c r="E1" s="66"/>
      <c r="F1" s="66"/>
      <c r="G1" s="66"/>
    </row>
    <row r="2" spans="1:9" ht="16" x14ac:dyDescent="0.2">
      <c r="A2" s="67" t="s">
        <v>101</v>
      </c>
      <c r="B2" s="67"/>
      <c r="C2" s="67"/>
      <c r="D2" s="67"/>
      <c r="E2" s="67"/>
      <c r="F2" s="67"/>
      <c r="G2" s="67"/>
    </row>
    <row r="3" spans="1:9" ht="16" thickBot="1" x14ac:dyDescent="0.25">
      <c r="A3" s="2"/>
      <c r="B3" s="2"/>
      <c r="C3" s="3"/>
      <c r="D3" s="2"/>
      <c r="E3" s="2"/>
      <c r="F3" s="2"/>
      <c r="G3" s="3"/>
    </row>
    <row r="4" spans="1:9" ht="33" thickBot="1" x14ac:dyDescent="0.25">
      <c r="A4" s="4" t="s">
        <v>0</v>
      </c>
      <c r="B4" s="5" t="s">
        <v>47</v>
      </c>
      <c r="C4" s="6" t="s">
        <v>48</v>
      </c>
      <c r="D4" s="7"/>
      <c r="E4" s="4" t="s">
        <v>1</v>
      </c>
      <c r="F4" s="5" t="s">
        <v>47</v>
      </c>
      <c r="G4" s="6" t="s">
        <v>48</v>
      </c>
    </row>
    <row r="5" spans="1:9" x14ac:dyDescent="0.2">
      <c r="A5" s="8" t="s">
        <v>2</v>
      </c>
      <c r="B5" s="9">
        <f>SUM(B6:B9)</f>
        <v>1546</v>
      </c>
      <c r="C5" s="10">
        <f>SUM(C6:C9)</f>
        <v>4371.8599999999997</v>
      </c>
      <c r="E5" s="8" t="s">
        <v>3</v>
      </c>
      <c r="F5" s="9">
        <f>SUM(F6:F7)</f>
        <v>0</v>
      </c>
      <c r="G5" s="10">
        <f>SUM(G6:G7)</f>
        <v>3277.24</v>
      </c>
    </row>
    <row r="6" spans="1:9" x14ac:dyDescent="0.2">
      <c r="A6" s="12" t="s">
        <v>56</v>
      </c>
      <c r="B6" s="13">
        <v>480</v>
      </c>
      <c r="C6" s="14">
        <f>Charges!B5</f>
        <v>3855</v>
      </c>
      <c r="E6" s="12" t="s">
        <v>4</v>
      </c>
      <c r="F6" s="15"/>
      <c r="G6" s="14">
        <f>+Produits!B5</f>
        <v>0</v>
      </c>
    </row>
    <row r="7" spans="1:9" x14ac:dyDescent="0.2">
      <c r="A7" s="16" t="s">
        <v>50</v>
      </c>
      <c r="B7" s="13">
        <v>1066</v>
      </c>
      <c r="C7" s="14">
        <f>Charges!B6</f>
        <v>516.86</v>
      </c>
      <c r="E7" s="12" t="s">
        <v>5</v>
      </c>
      <c r="F7" s="15"/>
      <c r="G7" s="14">
        <f>+Produits!B6</f>
        <v>3277.24</v>
      </c>
    </row>
    <row r="8" spans="1:9" x14ac:dyDescent="0.2">
      <c r="A8" s="16" t="s">
        <v>49</v>
      </c>
      <c r="B8" s="13"/>
      <c r="C8" s="14">
        <f>Charges!B7</f>
        <v>0</v>
      </c>
      <c r="E8" s="17" t="s">
        <v>6</v>
      </c>
      <c r="F8" s="18">
        <v>0</v>
      </c>
      <c r="G8" s="19">
        <v>0</v>
      </c>
    </row>
    <row r="9" spans="1:9" x14ac:dyDescent="0.2">
      <c r="A9" s="16" t="s">
        <v>53</v>
      </c>
      <c r="B9" s="13"/>
      <c r="C9" s="14">
        <f>Charges!B8</f>
        <v>0</v>
      </c>
      <c r="E9" s="17" t="s">
        <v>7</v>
      </c>
      <c r="F9" s="18">
        <v>0</v>
      </c>
      <c r="G9" s="19">
        <v>0</v>
      </c>
    </row>
    <row r="10" spans="1:9" x14ac:dyDescent="0.2">
      <c r="A10" s="20" t="s">
        <v>11</v>
      </c>
      <c r="B10" s="21">
        <f>SUM(B11:B15)</f>
        <v>2035</v>
      </c>
      <c r="C10" s="22">
        <f>SUM(C11:C14)</f>
        <v>1600</v>
      </c>
      <c r="E10" s="20" t="s">
        <v>8</v>
      </c>
      <c r="F10" s="21">
        <v>2100</v>
      </c>
      <c r="G10" s="22">
        <v>0</v>
      </c>
    </row>
    <row r="11" spans="1:9" x14ac:dyDescent="0.2">
      <c r="A11" s="12" t="s">
        <v>13</v>
      </c>
      <c r="B11" s="13"/>
      <c r="C11" s="14"/>
      <c r="E11" s="20" t="s">
        <v>9</v>
      </c>
      <c r="F11" s="21">
        <f>SUM(F12:F14)</f>
        <v>2796</v>
      </c>
      <c r="G11" s="22">
        <f>SUM(G12:G14)</f>
        <v>7225.2999999999975</v>
      </c>
    </row>
    <row r="12" spans="1:9" x14ac:dyDescent="0.2">
      <c r="A12" s="16" t="s">
        <v>15</v>
      </c>
      <c r="B12" s="13"/>
      <c r="C12" s="14">
        <f>+Charges!B20</f>
        <v>0</v>
      </c>
      <c r="E12" s="12" t="s">
        <v>10</v>
      </c>
      <c r="F12" s="23"/>
      <c r="G12" s="14"/>
    </row>
    <row r="13" spans="1:9" x14ac:dyDescent="0.2">
      <c r="A13" s="16" t="s">
        <v>51</v>
      </c>
      <c r="B13" s="13">
        <v>2000</v>
      </c>
      <c r="C13" s="14">
        <f>+Charges!B21</f>
        <v>1500</v>
      </c>
      <c r="E13" s="24" t="s">
        <v>12</v>
      </c>
      <c r="F13" s="15">
        <v>2796</v>
      </c>
      <c r="G13" s="14">
        <f>Produits!B12</f>
        <v>7225.2999999999975</v>
      </c>
      <c r="H13" s="11"/>
      <c r="I13" s="11"/>
    </row>
    <row r="14" spans="1:9" x14ac:dyDescent="0.2">
      <c r="A14" s="16" t="s">
        <v>19</v>
      </c>
      <c r="B14" s="13"/>
      <c r="C14" s="14">
        <f>+Charges!B22</f>
        <v>100</v>
      </c>
      <c r="E14" s="12" t="s">
        <v>14</v>
      </c>
      <c r="F14" s="15"/>
      <c r="G14" s="14"/>
    </row>
    <row r="15" spans="1:9" x14ac:dyDescent="0.2">
      <c r="A15" s="12" t="s">
        <v>161</v>
      </c>
      <c r="B15" s="13">
        <v>35</v>
      </c>
      <c r="C15" s="14"/>
      <c r="E15" s="20" t="s">
        <v>16</v>
      </c>
      <c r="F15" s="21">
        <f t="shared" ref="F15" si="0">SUM(F16)</f>
        <v>0</v>
      </c>
      <c r="G15" s="22">
        <f>SUM(G16)</f>
        <v>0</v>
      </c>
    </row>
    <row r="16" spans="1:9" x14ac:dyDescent="0.2">
      <c r="A16" s="20" t="s">
        <v>20</v>
      </c>
      <c r="B16" s="21">
        <f>SUM(B17:B27)</f>
        <v>715</v>
      </c>
      <c r="C16" s="22">
        <f>SUM(C17:C27)</f>
        <v>5087.95</v>
      </c>
      <c r="E16" s="12" t="s">
        <v>17</v>
      </c>
      <c r="F16" s="15"/>
      <c r="G16" s="14">
        <f>Produits!B15</f>
        <v>0</v>
      </c>
    </row>
    <row r="17" spans="1:8" x14ac:dyDescent="0.2">
      <c r="A17" s="24" t="s">
        <v>22</v>
      </c>
      <c r="B17" s="13">
        <v>500</v>
      </c>
      <c r="C17" s="14">
        <f>+Charges!B32</f>
        <v>431.4</v>
      </c>
      <c r="E17" s="20" t="s">
        <v>18</v>
      </c>
      <c r="F17" s="21">
        <f>SUM(F18:F18)</f>
        <v>0</v>
      </c>
      <c r="G17" s="22">
        <f>SUM(G18:G18)</f>
        <v>0</v>
      </c>
    </row>
    <row r="18" spans="1:8" x14ac:dyDescent="0.2">
      <c r="A18" s="12" t="s">
        <v>23</v>
      </c>
      <c r="B18" s="13"/>
      <c r="C18" s="14"/>
      <c r="E18" s="24" t="s">
        <v>100</v>
      </c>
      <c r="F18" s="25"/>
      <c r="G18" s="14">
        <f>Produits!B17</f>
        <v>0</v>
      </c>
    </row>
    <row r="19" spans="1:8" x14ac:dyDescent="0.2">
      <c r="A19" s="24" t="s">
        <v>24</v>
      </c>
      <c r="B19" s="13">
        <v>10</v>
      </c>
      <c r="C19" s="14">
        <f>+Charges!B34</f>
        <v>0</v>
      </c>
      <c r="E19" s="24" t="s">
        <v>99</v>
      </c>
      <c r="F19" s="25"/>
      <c r="G19" s="14">
        <f>Produits!B18</f>
        <v>30</v>
      </c>
    </row>
    <row r="20" spans="1:8" ht="16" x14ac:dyDescent="0.2">
      <c r="A20" s="24" t="s">
        <v>26</v>
      </c>
      <c r="B20" s="13"/>
      <c r="C20" s="14">
        <f>+Charges!B35</f>
        <v>111.44</v>
      </c>
      <c r="E20" s="26" t="s">
        <v>25</v>
      </c>
      <c r="F20" s="18">
        <v>0</v>
      </c>
      <c r="G20" s="19">
        <v>0</v>
      </c>
    </row>
    <row r="21" spans="1:8" ht="16" thickBot="1" x14ac:dyDescent="0.25">
      <c r="A21" s="12" t="s">
        <v>28</v>
      </c>
      <c r="B21" s="13"/>
      <c r="C21" s="14"/>
      <c r="E21" s="27" t="s">
        <v>27</v>
      </c>
      <c r="F21" s="28">
        <v>0</v>
      </c>
      <c r="G21" s="29">
        <v>0</v>
      </c>
    </row>
    <row r="22" spans="1:8" ht="16" thickBot="1" x14ac:dyDescent="0.25">
      <c r="A22" s="24" t="s">
        <v>30</v>
      </c>
      <c r="B22" s="13">
        <v>15</v>
      </c>
      <c r="C22" s="14">
        <f>+Charges!B37</f>
        <v>195.10999999999999</v>
      </c>
      <c r="E22" s="30" t="s">
        <v>29</v>
      </c>
      <c r="F22" s="31">
        <f>+F5+F8+F9+F10+F11+F15+F17+F20+F21</f>
        <v>4896</v>
      </c>
      <c r="G22" s="32">
        <f>+G5+G8+G9+G10+G11+G15+G17+G20+G21</f>
        <v>10502.539999999997</v>
      </c>
    </row>
    <row r="23" spans="1:8" x14ac:dyDescent="0.2">
      <c r="A23" s="24" t="s">
        <v>31</v>
      </c>
      <c r="B23" s="13"/>
      <c r="C23" s="14">
        <f>+Charges!B38</f>
        <v>0</v>
      </c>
    </row>
    <row r="24" spans="1:8" x14ac:dyDescent="0.2">
      <c r="A24" s="24" t="s">
        <v>68</v>
      </c>
      <c r="B24" s="34"/>
      <c r="C24" s="14">
        <f>+Charges!B39</f>
        <v>0</v>
      </c>
      <c r="E24" s="59" t="s">
        <v>171</v>
      </c>
    </row>
    <row r="25" spans="1:8" x14ac:dyDescent="0.2">
      <c r="A25" s="12" t="s">
        <v>32</v>
      </c>
      <c r="B25" s="13"/>
      <c r="C25" s="14"/>
    </row>
    <row r="26" spans="1:8" x14ac:dyDescent="0.2">
      <c r="A26" s="24" t="s">
        <v>33</v>
      </c>
      <c r="B26" s="13"/>
      <c r="C26" s="14">
        <f>+Charges!B41</f>
        <v>4034</v>
      </c>
      <c r="H26" s="11"/>
    </row>
    <row r="27" spans="1:8" x14ac:dyDescent="0.2">
      <c r="A27" s="24" t="s">
        <v>34</v>
      </c>
      <c r="B27" s="13">
        <v>190</v>
      </c>
      <c r="C27" s="14">
        <f>+Charges!B42</f>
        <v>316</v>
      </c>
    </row>
    <row r="28" spans="1:8" x14ac:dyDescent="0.2">
      <c r="A28" s="17" t="s">
        <v>35</v>
      </c>
      <c r="B28" s="18">
        <v>0</v>
      </c>
      <c r="C28" s="19">
        <v>0</v>
      </c>
    </row>
    <row r="29" spans="1:8" x14ac:dyDescent="0.2">
      <c r="A29" s="17" t="s">
        <v>36</v>
      </c>
      <c r="B29" s="18">
        <v>0</v>
      </c>
      <c r="C29" s="19">
        <v>0</v>
      </c>
    </row>
    <row r="30" spans="1:8" x14ac:dyDescent="0.2">
      <c r="A30" s="20" t="s">
        <v>37</v>
      </c>
      <c r="B30" s="21">
        <f t="shared" ref="B30" si="1">SUM(B31)</f>
        <v>400</v>
      </c>
      <c r="C30" s="22">
        <f>SUM(C31)</f>
        <v>791.97</v>
      </c>
    </row>
    <row r="31" spans="1:8" x14ac:dyDescent="0.2">
      <c r="A31" s="12" t="s">
        <v>38</v>
      </c>
      <c r="B31" s="34">
        <v>400</v>
      </c>
      <c r="C31" s="14">
        <f>+Charges!B47</f>
        <v>791.97</v>
      </c>
    </row>
    <row r="32" spans="1:8" x14ac:dyDescent="0.2">
      <c r="A32" s="17" t="s">
        <v>39</v>
      </c>
      <c r="B32" s="18">
        <v>0</v>
      </c>
      <c r="C32" s="19">
        <v>0</v>
      </c>
    </row>
    <row r="33" spans="1:10" x14ac:dyDescent="0.2">
      <c r="A33" s="20" t="s">
        <v>40</v>
      </c>
      <c r="B33" s="21">
        <f>SUM(B34:B36)</f>
        <v>600</v>
      </c>
      <c r="C33" s="22">
        <f>SUM(C34:C36)</f>
        <v>791.97</v>
      </c>
    </row>
    <row r="34" spans="1:10" x14ac:dyDescent="0.2">
      <c r="A34" s="12" t="s">
        <v>103</v>
      </c>
      <c r="B34" s="13"/>
      <c r="C34" s="14">
        <f>+Charges!B48</f>
        <v>791.97</v>
      </c>
    </row>
    <row r="35" spans="1:10" x14ac:dyDescent="0.2">
      <c r="A35" s="12" t="s">
        <v>41</v>
      </c>
      <c r="B35" s="13"/>
      <c r="C35" s="14">
        <f>+Charges!B52</f>
        <v>0</v>
      </c>
    </row>
    <row r="36" spans="1:10" x14ac:dyDescent="0.2">
      <c r="A36" s="12" t="s">
        <v>104</v>
      </c>
      <c r="B36" s="13">
        <v>600</v>
      </c>
      <c r="C36" s="14">
        <f>+Charges!B53</f>
        <v>0</v>
      </c>
    </row>
    <row r="37" spans="1:10" ht="16" x14ac:dyDescent="0.2">
      <c r="A37" s="26" t="s">
        <v>42</v>
      </c>
      <c r="B37" s="18">
        <v>0</v>
      </c>
      <c r="C37" s="19">
        <v>0</v>
      </c>
    </row>
    <row r="38" spans="1:10" ht="17" thickBot="1" x14ac:dyDescent="0.25">
      <c r="A38" s="36" t="s">
        <v>43</v>
      </c>
      <c r="B38" s="28">
        <v>0</v>
      </c>
      <c r="C38" s="29">
        <v>0</v>
      </c>
    </row>
    <row r="39" spans="1:10" ht="16" thickBot="1" x14ac:dyDescent="0.25">
      <c r="A39" s="30" t="s">
        <v>44</v>
      </c>
      <c r="B39" s="31">
        <f>B5+B10+B16+B28+B29+B30+B32+B33+B37+B38</f>
        <v>5296</v>
      </c>
      <c r="C39" s="32">
        <f>C5+C10+C16+C28+C29+C30+C32+C33+C37+C38</f>
        <v>12643.749999999998</v>
      </c>
    </row>
    <row r="40" spans="1:10" ht="17" thickBot="1" x14ac:dyDescent="0.25">
      <c r="A40" s="38" t="s">
        <v>45</v>
      </c>
      <c r="B40" s="39">
        <f>+F22-B39</f>
        <v>-400</v>
      </c>
      <c r="C40" s="40">
        <f>+G22-C39</f>
        <v>-2141.2100000000009</v>
      </c>
    </row>
    <row r="41" spans="1:10" ht="16" thickBot="1" x14ac:dyDescent="0.25">
      <c r="A41" s="30" t="s">
        <v>46</v>
      </c>
      <c r="B41" s="31">
        <f>B39+B40</f>
        <v>4896</v>
      </c>
      <c r="C41" s="32">
        <f>C39+C40</f>
        <v>10502.539999999997</v>
      </c>
    </row>
    <row r="42" spans="1:10" x14ac:dyDescent="0.2">
      <c r="B42" s="35"/>
      <c r="C42" s="41"/>
    </row>
    <row r="43" spans="1:10" x14ac:dyDescent="0.2">
      <c r="C43" s="42"/>
    </row>
    <row r="47" spans="1:10" s="35" customFormat="1" x14ac:dyDescent="0.2">
      <c r="A47" s="1"/>
      <c r="B47" s="11"/>
      <c r="C47" s="37"/>
      <c r="D47" s="11"/>
      <c r="E47" s="11"/>
      <c r="F47" s="11"/>
      <c r="G47" s="33"/>
      <c r="H47" s="1"/>
      <c r="J47" s="1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F9D2-E1A6-484D-809D-8C50EAD2010C}">
  <dimension ref="A1:AH56"/>
  <sheetViews>
    <sheetView topLeftCell="A17" zoomScale="80" zoomScaleNormal="80" workbookViewId="0">
      <selection activeCell="F48" sqref="F48"/>
    </sheetView>
  </sheetViews>
  <sheetFormatPr baseColWidth="10" defaultRowHeight="15" x14ac:dyDescent="0.2"/>
  <cols>
    <col min="1" max="1" width="70.1640625" bestFit="1" customWidth="1"/>
    <col min="2" max="2" width="9.83203125" customWidth="1"/>
    <col min="3" max="3" width="5.1640625" customWidth="1"/>
    <col min="4" max="4" width="10.33203125" customWidth="1"/>
    <col min="5" max="5" width="27.1640625" customWidth="1"/>
    <col min="6" max="6" width="9.1640625" bestFit="1" customWidth="1"/>
    <col min="7" max="7" width="1.83203125" customWidth="1"/>
    <col min="8" max="8" width="6.5" customWidth="1"/>
    <col min="9" max="9" width="27.6640625" customWidth="1"/>
    <col min="10" max="10" width="9.1640625" bestFit="1" customWidth="1"/>
    <col min="11" max="11" width="2.1640625" customWidth="1"/>
    <col min="12" max="12" width="6" customWidth="1"/>
    <col min="13" max="13" width="27.6640625" customWidth="1"/>
    <col min="14" max="14" width="9.1640625" bestFit="1" customWidth="1"/>
    <col min="15" max="15" width="3.1640625" customWidth="1"/>
    <col min="16" max="16" width="5.6640625" customWidth="1"/>
    <col min="17" max="17" width="28.83203125" customWidth="1"/>
    <col min="18" max="18" width="9.1640625" bestFit="1" customWidth="1"/>
    <col min="19" max="19" width="3.1640625" customWidth="1"/>
    <col min="20" max="20" width="5" bestFit="1" customWidth="1"/>
    <col min="21" max="21" width="24.1640625" bestFit="1" customWidth="1"/>
    <col min="22" max="22" width="9.1640625" bestFit="1" customWidth="1"/>
    <col min="23" max="23" width="2.1640625" customWidth="1"/>
    <col min="25" max="25" width="26.5" bestFit="1" customWidth="1"/>
    <col min="26" max="26" width="9.1640625" bestFit="1" customWidth="1"/>
    <col min="27" max="27" width="3.1640625" customWidth="1"/>
    <col min="29" max="29" width="32.83203125" bestFit="1" customWidth="1"/>
    <col min="30" max="30" width="9.1640625" bestFit="1" customWidth="1"/>
    <col min="31" max="31" width="2.83203125" customWidth="1"/>
    <col min="32" max="32" width="7.83203125" customWidth="1"/>
    <col min="33" max="33" width="32.83203125" bestFit="1" customWidth="1"/>
    <col min="34" max="34" width="9.1640625" bestFit="1" customWidth="1"/>
  </cols>
  <sheetData>
    <row r="1" spans="1:18" s="52" customFormat="1" ht="26" x14ac:dyDescent="0.3">
      <c r="A1" s="51" t="s">
        <v>0</v>
      </c>
      <c r="D1" s="51" t="s">
        <v>98</v>
      </c>
    </row>
    <row r="3" spans="1:18" ht="16" thickBot="1" x14ac:dyDescent="0.25">
      <c r="A3" s="59" t="s">
        <v>170</v>
      </c>
      <c r="E3" s="48" t="s">
        <v>172</v>
      </c>
      <c r="I3" s="48" t="s">
        <v>81</v>
      </c>
      <c r="M3" s="48" t="s">
        <v>82</v>
      </c>
      <c r="Q3" s="48" t="s">
        <v>83</v>
      </c>
    </row>
    <row r="4" spans="1:18" x14ac:dyDescent="0.2">
      <c r="A4" s="8" t="s">
        <v>2</v>
      </c>
      <c r="B4" s="10">
        <f>SUM(B6:B8)</f>
        <v>516.86</v>
      </c>
      <c r="D4" s="44" t="s">
        <v>57</v>
      </c>
      <c r="E4" s="44" t="s">
        <v>89</v>
      </c>
      <c r="F4" s="44" t="s">
        <v>54</v>
      </c>
      <c r="H4" s="44" t="s">
        <v>57</v>
      </c>
      <c r="I4" s="44" t="s">
        <v>94</v>
      </c>
      <c r="J4" s="44" t="s">
        <v>54</v>
      </c>
      <c r="L4" s="44" t="s">
        <v>57</v>
      </c>
      <c r="M4" s="44" t="s">
        <v>96</v>
      </c>
      <c r="N4" s="44" t="s">
        <v>54</v>
      </c>
      <c r="P4" s="44" t="s">
        <v>57</v>
      </c>
      <c r="Q4" s="44" t="s">
        <v>97</v>
      </c>
      <c r="R4" s="44" t="s">
        <v>54</v>
      </c>
    </row>
    <row r="5" spans="1:18" x14ac:dyDescent="0.2">
      <c r="A5" s="12" t="s">
        <v>56</v>
      </c>
      <c r="B5" s="14">
        <f>F15</f>
        <v>3855</v>
      </c>
      <c r="D5" s="43">
        <v>44917</v>
      </c>
      <c r="E5" s="43" t="s">
        <v>186</v>
      </c>
      <c r="F5" s="43">
        <v>3805</v>
      </c>
      <c r="H5" s="43">
        <v>44922</v>
      </c>
      <c r="I5" s="43" t="s">
        <v>202</v>
      </c>
      <c r="J5" s="43">
        <v>139.58000000000001</v>
      </c>
      <c r="L5" s="43"/>
      <c r="M5" s="43"/>
      <c r="N5" s="43"/>
      <c r="P5" s="43"/>
      <c r="Q5" s="43"/>
      <c r="R5" s="43"/>
    </row>
    <row r="6" spans="1:18" x14ac:dyDescent="0.2">
      <c r="A6" s="16" t="s">
        <v>95</v>
      </c>
      <c r="B6" s="14">
        <f>J15</f>
        <v>516.86</v>
      </c>
      <c r="C6" s="43"/>
      <c r="D6" s="43">
        <v>44918</v>
      </c>
      <c r="E6" t="s">
        <v>187</v>
      </c>
      <c r="F6" s="43">
        <v>25</v>
      </c>
      <c r="G6" s="43"/>
      <c r="H6" s="43">
        <v>45070</v>
      </c>
      <c r="I6" t="s">
        <v>203</v>
      </c>
      <c r="J6" s="43">
        <v>107.28</v>
      </c>
      <c r="K6" s="43"/>
      <c r="L6" s="43"/>
      <c r="N6" s="43"/>
      <c r="O6" s="43"/>
      <c r="P6" s="43"/>
      <c r="Q6" s="43"/>
      <c r="R6" s="43"/>
    </row>
    <row r="7" spans="1:18" x14ac:dyDescent="0.2">
      <c r="A7" s="16" t="s">
        <v>49</v>
      </c>
      <c r="B7" s="14">
        <f>N15</f>
        <v>0</v>
      </c>
      <c r="D7" s="43">
        <v>44918</v>
      </c>
      <c r="E7" s="43" t="s">
        <v>188</v>
      </c>
      <c r="F7" s="43">
        <v>25</v>
      </c>
      <c r="H7" s="43">
        <v>45212</v>
      </c>
      <c r="I7" s="43" t="s">
        <v>204</v>
      </c>
      <c r="J7" s="43">
        <v>270</v>
      </c>
      <c r="L7" s="43"/>
      <c r="M7" s="43"/>
      <c r="N7" s="43"/>
      <c r="P7" s="43"/>
      <c r="Q7" s="43"/>
      <c r="R7" s="43"/>
    </row>
    <row r="8" spans="1:18" x14ac:dyDescent="0.2">
      <c r="A8" s="16" t="s">
        <v>53</v>
      </c>
      <c r="B8" s="14">
        <f>R15</f>
        <v>0</v>
      </c>
      <c r="D8" s="43"/>
      <c r="E8" s="43"/>
      <c r="F8" s="43"/>
      <c r="H8" s="43"/>
      <c r="I8" s="43"/>
      <c r="J8" s="43"/>
      <c r="L8" s="43"/>
      <c r="M8" s="43"/>
      <c r="N8" s="43"/>
      <c r="P8" s="43"/>
      <c r="Q8" s="43"/>
      <c r="R8" s="43"/>
    </row>
    <row r="9" spans="1:18" x14ac:dyDescent="0.2">
      <c r="D9" s="43"/>
      <c r="E9" s="43"/>
      <c r="F9" s="43"/>
      <c r="H9" s="43"/>
      <c r="I9" s="43"/>
      <c r="J9" s="43"/>
      <c r="L9" s="43"/>
      <c r="M9" s="43"/>
      <c r="N9" s="43"/>
      <c r="P9" s="43"/>
      <c r="Q9" s="43"/>
      <c r="R9" s="43"/>
    </row>
    <row r="10" spans="1:18" x14ac:dyDescent="0.2">
      <c r="A10" s="46"/>
      <c r="D10" s="43"/>
      <c r="E10" s="43"/>
      <c r="F10" s="43"/>
      <c r="H10" s="43"/>
      <c r="I10" s="43"/>
      <c r="J10" s="43"/>
      <c r="L10" s="43"/>
      <c r="M10" s="43"/>
      <c r="N10" s="43"/>
      <c r="P10" s="43"/>
      <c r="Q10" s="43"/>
      <c r="R10" s="43"/>
    </row>
    <row r="11" spans="1:18" x14ac:dyDescent="0.2">
      <c r="A11" s="46"/>
      <c r="D11" s="43"/>
      <c r="E11" s="43"/>
      <c r="F11" s="43"/>
      <c r="H11" s="43"/>
      <c r="I11" s="43"/>
      <c r="J11" s="43"/>
      <c r="L11" s="43"/>
      <c r="M11" s="43"/>
      <c r="N11" s="43"/>
      <c r="P11" s="43"/>
      <c r="Q11" s="43"/>
      <c r="R11" s="43"/>
    </row>
    <row r="12" spans="1:18" x14ac:dyDescent="0.2">
      <c r="D12" s="43"/>
      <c r="E12" s="43"/>
      <c r="F12" s="43"/>
      <c r="H12" s="43"/>
      <c r="I12" s="43"/>
      <c r="J12" s="43"/>
      <c r="L12" s="43"/>
      <c r="M12" s="43"/>
      <c r="N12" s="43"/>
      <c r="P12" s="43"/>
      <c r="Q12" s="43"/>
      <c r="R12" s="43"/>
    </row>
    <row r="13" spans="1:18" x14ac:dyDescent="0.2">
      <c r="D13" s="43"/>
      <c r="E13" s="43"/>
      <c r="F13" s="43"/>
      <c r="H13" s="43"/>
      <c r="I13" s="43"/>
      <c r="J13" s="43"/>
      <c r="L13" s="43"/>
      <c r="M13" s="43"/>
      <c r="N13" s="43"/>
      <c r="P13" s="43"/>
      <c r="Q13" s="43"/>
      <c r="R13" s="43"/>
    </row>
    <row r="14" spans="1:18" x14ac:dyDescent="0.2">
      <c r="D14" s="43"/>
      <c r="E14" s="43"/>
      <c r="F14" s="43"/>
      <c r="H14" s="43"/>
      <c r="I14" s="43"/>
      <c r="J14" s="43"/>
      <c r="L14" s="43"/>
      <c r="M14" s="43"/>
      <c r="N14" s="43"/>
      <c r="P14" s="43"/>
      <c r="Q14" s="43"/>
      <c r="R14" s="43"/>
    </row>
    <row r="15" spans="1:18" x14ac:dyDescent="0.2">
      <c r="E15" s="56" t="s">
        <v>58</v>
      </c>
      <c r="F15" s="44">
        <f>SUM(F5:F14)</f>
        <v>3855</v>
      </c>
      <c r="I15" s="56" t="s">
        <v>58</v>
      </c>
      <c r="J15" s="44">
        <f>SUM(J5:J14)</f>
        <v>516.86</v>
      </c>
      <c r="M15" s="56" t="s">
        <v>58</v>
      </c>
      <c r="N15" s="44">
        <f>SUM(N5:N14)</f>
        <v>0</v>
      </c>
      <c r="Q15" s="56" t="s">
        <v>58</v>
      </c>
      <c r="R15" s="44">
        <f>SUM(R5:R14)</f>
        <v>0</v>
      </c>
    </row>
    <row r="17" spans="1:34" x14ac:dyDescent="0.2">
      <c r="E17" s="48" t="s">
        <v>78</v>
      </c>
      <c r="I17" s="48" t="s">
        <v>79</v>
      </c>
      <c r="M17" s="48" t="s">
        <v>80</v>
      </c>
      <c r="Q17" s="48" t="s">
        <v>162</v>
      </c>
    </row>
    <row r="18" spans="1:34" x14ac:dyDescent="0.2">
      <c r="A18" s="20" t="s">
        <v>11</v>
      </c>
      <c r="B18" s="22">
        <f>SUM(B19:B22)</f>
        <v>1600</v>
      </c>
      <c r="D18" s="45" t="s">
        <v>57</v>
      </c>
      <c r="E18" s="45" t="s">
        <v>59</v>
      </c>
      <c r="F18" s="45" t="s">
        <v>54</v>
      </c>
      <c r="H18" s="45" t="s">
        <v>57</v>
      </c>
      <c r="I18" s="45" t="s">
        <v>60</v>
      </c>
      <c r="J18" s="45" t="s">
        <v>54</v>
      </c>
      <c r="L18" s="45" t="s">
        <v>57</v>
      </c>
      <c r="M18" s="45" t="s">
        <v>62</v>
      </c>
      <c r="N18" s="45" t="s">
        <v>54</v>
      </c>
      <c r="P18" s="45" t="s">
        <v>57</v>
      </c>
      <c r="Q18" s="45" t="s">
        <v>161</v>
      </c>
      <c r="R18" s="45" t="s">
        <v>54</v>
      </c>
    </row>
    <row r="19" spans="1:34" x14ac:dyDescent="0.2">
      <c r="A19" s="12" t="s">
        <v>13</v>
      </c>
      <c r="B19" s="14"/>
      <c r="D19" s="43"/>
      <c r="E19" s="43"/>
      <c r="F19" s="43"/>
      <c r="H19" s="43">
        <v>45042</v>
      </c>
      <c r="I19" s="43" t="s">
        <v>201</v>
      </c>
      <c r="J19" s="43">
        <v>800</v>
      </c>
      <c r="L19" s="64">
        <v>44964</v>
      </c>
      <c r="M19" s="43" t="s">
        <v>200</v>
      </c>
      <c r="N19" s="43">
        <v>100</v>
      </c>
      <c r="P19" s="43"/>
      <c r="Q19" s="43"/>
      <c r="R19" s="43"/>
    </row>
    <row r="20" spans="1:34" x14ac:dyDescent="0.2">
      <c r="A20" s="16" t="s">
        <v>15</v>
      </c>
      <c r="B20" s="14">
        <f>F28</f>
        <v>0</v>
      </c>
      <c r="D20" s="43"/>
      <c r="E20" s="43"/>
      <c r="F20" s="43"/>
      <c r="H20" s="43">
        <v>45173</v>
      </c>
      <c r="I20" s="43" t="s">
        <v>189</v>
      </c>
      <c r="J20" s="43">
        <v>700</v>
      </c>
      <c r="L20" s="43"/>
      <c r="M20" s="43"/>
      <c r="N20" s="43"/>
      <c r="P20" s="43"/>
      <c r="Q20" s="43"/>
      <c r="R20" s="43"/>
    </row>
    <row r="21" spans="1:34" x14ac:dyDescent="0.2">
      <c r="A21" s="16" t="s">
        <v>61</v>
      </c>
      <c r="B21" s="14">
        <f>J28</f>
        <v>1500</v>
      </c>
      <c r="D21" s="43"/>
      <c r="E21" s="43"/>
      <c r="F21" s="43"/>
      <c r="H21" s="43"/>
      <c r="I21" s="43"/>
      <c r="J21" s="43"/>
      <c r="L21" s="43"/>
      <c r="M21" s="43"/>
      <c r="N21" s="43"/>
      <c r="P21" s="43"/>
      <c r="Q21" s="43"/>
      <c r="R21" s="43"/>
    </row>
    <row r="22" spans="1:34" x14ac:dyDescent="0.2">
      <c r="A22" s="16" t="s">
        <v>55</v>
      </c>
      <c r="B22" s="14">
        <f>N28</f>
        <v>100</v>
      </c>
      <c r="D22" s="43"/>
      <c r="E22" s="43"/>
      <c r="F22" s="43"/>
      <c r="H22" s="43"/>
      <c r="I22" s="43"/>
      <c r="J22" s="43"/>
      <c r="L22" s="43"/>
      <c r="M22" s="43"/>
      <c r="N22" s="43"/>
      <c r="P22" s="43"/>
      <c r="Q22" s="43"/>
      <c r="R22" s="43"/>
    </row>
    <row r="23" spans="1:34" x14ac:dyDescent="0.2">
      <c r="A23" s="12" t="s">
        <v>161</v>
      </c>
      <c r="B23" s="14">
        <f>R28</f>
        <v>0</v>
      </c>
      <c r="D23" s="43"/>
      <c r="E23" s="43"/>
      <c r="F23" s="43"/>
      <c r="H23" s="43"/>
      <c r="I23" s="43"/>
      <c r="J23" s="43"/>
      <c r="L23" s="43"/>
      <c r="M23" s="43"/>
      <c r="N23" s="43"/>
      <c r="P23" s="43"/>
      <c r="Q23" s="43"/>
      <c r="R23" s="43"/>
    </row>
    <row r="24" spans="1:34" x14ac:dyDescent="0.2">
      <c r="A24" s="46"/>
      <c r="D24" s="43"/>
      <c r="E24" s="43"/>
      <c r="F24" s="43"/>
      <c r="H24" s="43"/>
      <c r="I24" s="43"/>
      <c r="J24" s="43"/>
      <c r="L24" s="43"/>
      <c r="M24" s="43"/>
      <c r="N24" s="43"/>
      <c r="P24" s="43"/>
      <c r="Q24" s="43"/>
      <c r="R24" s="43"/>
    </row>
    <row r="25" spans="1:34" x14ac:dyDescent="0.2">
      <c r="D25" s="43"/>
      <c r="E25" s="43"/>
      <c r="F25" s="43"/>
      <c r="H25" s="43"/>
      <c r="I25" s="43"/>
      <c r="J25" s="43"/>
      <c r="L25" s="43"/>
      <c r="M25" s="43"/>
      <c r="N25" s="43"/>
      <c r="P25" s="43"/>
      <c r="Q25" s="43"/>
      <c r="R25" s="43"/>
    </row>
    <row r="26" spans="1:34" x14ac:dyDescent="0.2">
      <c r="D26" s="43"/>
      <c r="E26" s="43"/>
      <c r="F26" s="43"/>
      <c r="H26" s="43"/>
      <c r="I26" s="43"/>
      <c r="J26" s="43"/>
      <c r="L26" s="43"/>
      <c r="M26" s="43"/>
      <c r="N26" s="43"/>
      <c r="P26" s="43"/>
      <c r="Q26" s="43"/>
      <c r="R26" s="43"/>
    </row>
    <row r="27" spans="1:34" x14ac:dyDescent="0.2">
      <c r="D27" s="43"/>
      <c r="E27" s="43"/>
      <c r="F27" s="43"/>
      <c r="H27" s="43"/>
      <c r="I27" s="43"/>
      <c r="J27" s="43"/>
      <c r="L27" s="43"/>
      <c r="M27" s="43"/>
      <c r="N27" s="43"/>
      <c r="P27" s="43"/>
      <c r="Q27" s="43"/>
      <c r="R27" s="43"/>
    </row>
    <row r="28" spans="1:34" x14ac:dyDescent="0.2">
      <c r="E28" s="60" t="s">
        <v>58</v>
      </c>
      <c r="F28" s="45">
        <f>SUM(F19:F27)</f>
        <v>0</v>
      </c>
      <c r="I28" s="60" t="s">
        <v>58</v>
      </c>
      <c r="J28" s="45">
        <f>SUM(J19:J27)</f>
        <v>1500</v>
      </c>
      <c r="M28" s="60" t="s">
        <v>58</v>
      </c>
      <c r="N28" s="45">
        <f>SUM(N19:N27)</f>
        <v>100</v>
      </c>
      <c r="Q28" s="60" t="s">
        <v>58</v>
      </c>
      <c r="R28" s="45">
        <f>SUM(R19:R27)</f>
        <v>0</v>
      </c>
    </row>
    <row r="30" spans="1:34" x14ac:dyDescent="0.2">
      <c r="E30" s="48" t="s">
        <v>75</v>
      </c>
      <c r="I30" s="48" t="s">
        <v>76</v>
      </c>
      <c r="M30" s="48" t="s">
        <v>91</v>
      </c>
      <c r="Q30" s="48" t="s">
        <v>90</v>
      </c>
      <c r="U30" s="48" t="s">
        <v>77</v>
      </c>
      <c r="AC30" s="48" t="s">
        <v>73</v>
      </c>
      <c r="AG30" s="48" t="s">
        <v>74</v>
      </c>
    </row>
    <row r="31" spans="1:34" x14ac:dyDescent="0.2">
      <c r="A31" s="20" t="s">
        <v>20</v>
      </c>
      <c r="B31" s="22">
        <f>SUM(B32:B42)</f>
        <v>5087.95</v>
      </c>
      <c r="D31" s="47" t="s">
        <v>57</v>
      </c>
      <c r="E31" s="47" t="s">
        <v>63</v>
      </c>
      <c r="F31" s="47" t="s">
        <v>54</v>
      </c>
      <c r="H31" s="47" t="s">
        <v>57</v>
      </c>
      <c r="I31" s="47" t="s">
        <v>72</v>
      </c>
      <c r="J31" s="47" t="s">
        <v>54</v>
      </c>
      <c r="L31" s="47" t="s">
        <v>57</v>
      </c>
      <c r="M31" s="47" t="s">
        <v>64</v>
      </c>
      <c r="N31" s="47" t="s">
        <v>54</v>
      </c>
      <c r="P31" s="47" t="s">
        <v>57</v>
      </c>
      <c r="Q31" s="47" t="s">
        <v>66</v>
      </c>
      <c r="R31" s="47" t="s">
        <v>54</v>
      </c>
      <c r="T31" s="47" t="s">
        <v>57</v>
      </c>
      <c r="U31" s="47" t="s">
        <v>65</v>
      </c>
      <c r="V31" s="47" t="s">
        <v>54</v>
      </c>
      <c r="X31" s="47" t="s">
        <v>57</v>
      </c>
      <c r="Y31" s="47" t="s">
        <v>67</v>
      </c>
      <c r="Z31" s="47" t="s">
        <v>54</v>
      </c>
      <c r="AB31" s="47" t="s">
        <v>57</v>
      </c>
      <c r="AC31" s="47" t="s">
        <v>69</v>
      </c>
      <c r="AD31" s="47" t="s">
        <v>54</v>
      </c>
      <c r="AF31" s="47" t="s">
        <v>57</v>
      </c>
      <c r="AG31" s="47" t="s">
        <v>70</v>
      </c>
      <c r="AH31" s="47" t="s">
        <v>54</v>
      </c>
    </row>
    <row r="32" spans="1:34" x14ac:dyDescent="0.2">
      <c r="A32" s="12" t="s">
        <v>21</v>
      </c>
      <c r="B32" s="14">
        <f>F42</f>
        <v>431.4</v>
      </c>
      <c r="D32" s="64">
        <v>45161</v>
      </c>
      <c r="E32" s="43" t="s">
        <v>195</v>
      </c>
      <c r="F32" s="63">
        <v>431.4</v>
      </c>
      <c r="H32" s="43"/>
      <c r="I32" s="43"/>
      <c r="J32" s="43"/>
      <c r="L32" s="64">
        <v>45082</v>
      </c>
      <c r="M32" s="43" t="s">
        <v>199</v>
      </c>
      <c r="N32" s="65">
        <v>111.44</v>
      </c>
      <c r="P32" s="43">
        <v>44893</v>
      </c>
      <c r="Q32" s="43" t="s">
        <v>196</v>
      </c>
      <c r="R32" s="43">
        <v>11.15</v>
      </c>
      <c r="T32" s="43"/>
      <c r="U32" s="43"/>
      <c r="V32" s="43"/>
      <c r="X32" s="43"/>
      <c r="Y32" s="43"/>
      <c r="Z32" s="43"/>
      <c r="AB32" s="43">
        <v>44956</v>
      </c>
      <c r="AC32" s="43" t="s">
        <v>191</v>
      </c>
      <c r="AD32" s="43">
        <v>1144</v>
      </c>
      <c r="AF32" s="43">
        <v>45033</v>
      </c>
      <c r="AG32" s="43" t="s">
        <v>190</v>
      </c>
      <c r="AH32" s="43">
        <v>270</v>
      </c>
    </row>
    <row r="33" spans="1:34" x14ac:dyDescent="0.2">
      <c r="A33" s="12" t="s">
        <v>23</v>
      </c>
      <c r="B33" s="14"/>
      <c r="D33" s="43"/>
      <c r="E33" s="43"/>
      <c r="F33" s="43"/>
      <c r="H33" s="43"/>
      <c r="I33" s="43"/>
      <c r="J33" s="43"/>
      <c r="L33" s="43"/>
      <c r="M33" s="43"/>
      <c r="N33" s="43"/>
      <c r="P33" s="43">
        <v>44943</v>
      </c>
      <c r="Q33" s="43" t="s">
        <v>196</v>
      </c>
      <c r="R33" s="43">
        <v>19.739999999999998</v>
      </c>
      <c r="T33" s="43"/>
      <c r="U33" s="43"/>
      <c r="V33" s="43"/>
      <c r="X33" s="43"/>
      <c r="Y33" s="43"/>
      <c r="Z33" s="43"/>
      <c r="AB33" s="43">
        <v>44977</v>
      </c>
      <c r="AC33" s="43" t="s">
        <v>192</v>
      </c>
      <c r="AD33" s="43">
        <v>600</v>
      </c>
      <c r="AF33" s="43">
        <v>45097</v>
      </c>
      <c r="AG33" s="43" t="s">
        <v>189</v>
      </c>
      <c r="AH33" s="43">
        <v>46</v>
      </c>
    </row>
    <row r="34" spans="1:34" x14ac:dyDescent="0.2">
      <c r="A34" s="24" t="s">
        <v>24</v>
      </c>
      <c r="B34" s="14">
        <f>J42</f>
        <v>0</v>
      </c>
      <c r="D34" s="43"/>
      <c r="E34" s="43"/>
      <c r="F34" s="43"/>
      <c r="H34" s="43"/>
      <c r="I34" s="43"/>
      <c r="J34" s="43"/>
      <c r="L34" s="43"/>
      <c r="M34" s="43"/>
      <c r="N34" s="43"/>
      <c r="P34" s="43">
        <v>45034</v>
      </c>
      <c r="Q34" s="43" t="s">
        <v>196</v>
      </c>
      <c r="R34" s="43">
        <v>19.739999999999998</v>
      </c>
      <c r="T34" s="43"/>
      <c r="U34" s="43"/>
      <c r="V34" s="43"/>
      <c r="X34" s="43"/>
      <c r="Y34" s="43"/>
      <c r="Z34" s="43"/>
      <c r="AB34" s="43">
        <v>45042</v>
      </c>
      <c r="AC34" s="43" t="s">
        <v>193</v>
      </c>
      <c r="AD34" s="43">
        <v>1144</v>
      </c>
      <c r="AF34" s="43"/>
      <c r="AG34" s="43"/>
      <c r="AH34" s="43"/>
    </row>
    <row r="35" spans="1:34" x14ac:dyDescent="0.2">
      <c r="A35" s="24" t="s">
        <v>26</v>
      </c>
      <c r="B35" s="14">
        <f>N42</f>
        <v>111.44</v>
      </c>
      <c r="D35" s="43"/>
      <c r="E35" s="43"/>
      <c r="F35" s="43"/>
      <c r="H35" s="43"/>
      <c r="I35" s="43"/>
      <c r="J35" s="43"/>
      <c r="L35" s="43"/>
      <c r="M35" s="43"/>
      <c r="N35" s="43"/>
      <c r="P35" s="43">
        <v>45125</v>
      </c>
      <c r="Q35" s="43" t="s">
        <v>196</v>
      </c>
      <c r="R35" s="43">
        <v>19.739999999999998</v>
      </c>
      <c r="T35" s="43"/>
      <c r="U35" s="43"/>
      <c r="V35" s="43"/>
      <c r="X35" s="43"/>
      <c r="Y35" s="43"/>
      <c r="Z35" s="43"/>
      <c r="AB35" s="43">
        <v>45093</v>
      </c>
      <c r="AC35" s="43" t="s">
        <v>194</v>
      </c>
      <c r="AD35" s="43">
        <v>1146</v>
      </c>
      <c r="AF35" s="43"/>
      <c r="AG35" s="43"/>
      <c r="AH35" s="43"/>
    </row>
    <row r="36" spans="1:34" x14ac:dyDescent="0.2">
      <c r="A36" s="12" t="s">
        <v>28</v>
      </c>
      <c r="B36" s="14"/>
      <c r="D36" s="43"/>
      <c r="E36" s="43"/>
      <c r="F36" s="43"/>
      <c r="H36" s="43"/>
      <c r="I36" s="43"/>
      <c r="J36" s="43"/>
      <c r="L36" s="43"/>
      <c r="M36" s="43"/>
      <c r="N36" s="43"/>
      <c r="P36" s="43">
        <v>45216</v>
      </c>
      <c r="Q36" s="43" t="s">
        <v>196</v>
      </c>
      <c r="R36" s="43">
        <v>19.739999999999998</v>
      </c>
      <c r="T36" s="43"/>
      <c r="U36" s="43"/>
      <c r="V36" s="43"/>
      <c r="X36" s="43"/>
      <c r="Y36" s="43"/>
      <c r="Z36" s="43"/>
      <c r="AB36" s="43"/>
      <c r="AC36" s="43"/>
      <c r="AD36" s="43"/>
      <c r="AF36" s="43"/>
      <c r="AG36" s="43"/>
      <c r="AH36" s="43"/>
    </row>
    <row r="37" spans="1:34" x14ac:dyDescent="0.2">
      <c r="A37" s="24" t="s">
        <v>30</v>
      </c>
      <c r="B37" s="14">
        <f>R42</f>
        <v>195.10999999999999</v>
      </c>
      <c r="D37" s="43"/>
      <c r="E37" s="43"/>
      <c r="F37" s="43"/>
      <c r="H37" s="43"/>
      <c r="I37" s="43"/>
      <c r="J37" s="43"/>
      <c r="L37" s="43"/>
      <c r="M37" s="43"/>
      <c r="N37" s="43"/>
      <c r="P37" s="43"/>
      <c r="Q37" s="43" t="s">
        <v>197</v>
      </c>
      <c r="R37" s="43">
        <v>15</v>
      </c>
      <c r="T37" s="43"/>
      <c r="U37" s="43"/>
      <c r="V37" s="43"/>
      <c r="X37" s="43"/>
      <c r="Y37" s="43"/>
      <c r="Z37" s="43"/>
      <c r="AB37" s="43"/>
      <c r="AC37" s="43"/>
      <c r="AD37" s="43"/>
      <c r="AF37" s="43"/>
      <c r="AG37" s="43"/>
      <c r="AH37" s="43"/>
    </row>
    <row r="38" spans="1:34" x14ac:dyDescent="0.2">
      <c r="A38" s="24" t="s">
        <v>31</v>
      </c>
      <c r="B38" s="14">
        <f>V42</f>
        <v>0</v>
      </c>
      <c r="D38" s="43"/>
      <c r="E38" s="43"/>
      <c r="F38" s="43"/>
      <c r="H38" s="43"/>
      <c r="I38" s="43"/>
      <c r="J38" s="43"/>
      <c r="L38" s="43"/>
      <c r="M38" s="43"/>
      <c r="N38" s="43"/>
      <c r="P38" s="43"/>
      <c r="Q38" s="43" t="s">
        <v>198</v>
      </c>
      <c r="R38" s="43">
        <v>90</v>
      </c>
      <c r="T38" s="43"/>
      <c r="U38" s="43"/>
      <c r="V38" s="43"/>
      <c r="X38" s="43"/>
      <c r="Y38" s="43"/>
      <c r="Z38" s="43"/>
      <c r="AB38" s="43"/>
      <c r="AC38" s="43"/>
      <c r="AD38" s="43"/>
      <c r="AF38" s="43"/>
      <c r="AG38" s="43"/>
      <c r="AH38" s="43"/>
    </row>
    <row r="39" spans="1:34" x14ac:dyDescent="0.2">
      <c r="A39" s="24" t="s">
        <v>68</v>
      </c>
      <c r="B39" s="14">
        <f>Z42</f>
        <v>0</v>
      </c>
      <c r="D39" s="43"/>
      <c r="E39" s="43"/>
      <c r="F39" s="43"/>
      <c r="H39" s="43"/>
      <c r="I39" s="43"/>
      <c r="J39" s="43"/>
      <c r="L39" s="43"/>
      <c r="M39" s="43"/>
      <c r="N39" s="43"/>
      <c r="P39" s="43"/>
      <c r="Q39" s="43"/>
      <c r="R39" s="43"/>
      <c r="T39" s="43"/>
      <c r="U39" s="43"/>
      <c r="V39" s="43"/>
      <c r="X39" s="43"/>
      <c r="Y39" s="43"/>
      <c r="Z39" s="43"/>
      <c r="AB39" s="43"/>
      <c r="AC39" s="43"/>
      <c r="AD39" s="43"/>
      <c r="AF39" s="43"/>
      <c r="AG39" s="43"/>
      <c r="AH39" s="43"/>
    </row>
    <row r="40" spans="1:34" x14ac:dyDescent="0.2">
      <c r="A40" s="12" t="s">
        <v>32</v>
      </c>
      <c r="B40" s="14"/>
      <c r="D40" s="43"/>
      <c r="E40" s="43"/>
      <c r="F40" s="43"/>
      <c r="H40" s="43"/>
      <c r="I40" s="43"/>
      <c r="J40" s="43"/>
      <c r="L40" s="43"/>
      <c r="M40" s="43"/>
      <c r="N40" s="43"/>
      <c r="P40" s="43"/>
      <c r="Q40" s="43"/>
      <c r="R40" s="43"/>
      <c r="T40" s="43"/>
      <c r="U40" s="43"/>
      <c r="V40" s="43"/>
      <c r="X40" s="43"/>
      <c r="Y40" s="43"/>
      <c r="Z40" s="43"/>
      <c r="AB40" s="43"/>
      <c r="AC40" s="43"/>
      <c r="AD40" s="43"/>
      <c r="AF40" s="43"/>
      <c r="AG40" s="43"/>
      <c r="AH40" s="43"/>
    </row>
    <row r="41" spans="1:34" x14ac:dyDescent="0.2">
      <c r="A41" s="24" t="s">
        <v>33</v>
      </c>
      <c r="B41" s="14">
        <f>AD42</f>
        <v>4034</v>
      </c>
      <c r="D41" s="43"/>
      <c r="E41" s="43"/>
      <c r="F41" s="43"/>
      <c r="H41" s="43"/>
      <c r="I41" s="43"/>
      <c r="J41" s="43"/>
      <c r="L41" s="43"/>
      <c r="M41" s="43"/>
      <c r="N41" s="43"/>
      <c r="P41" s="43"/>
      <c r="Q41" s="43"/>
      <c r="R41" s="43"/>
      <c r="T41" s="43"/>
      <c r="U41" s="43"/>
      <c r="V41" s="43"/>
      <c r="X41" s="43"/>
      <c r="Y41" s="43"/>
      <c r="Z41" s="43"/>
      <c r="AB41" s="43"/>
      <c r="AC41" s="43"/>
      <c r="AD41" s="43"/>
      <c r="AF41" s="43"/>
      <c r="AG41" s="43"/>
      <c r="AH41" s="43"/>
    </row>
    <row r="42" spans="1:34" x14ac:dyDescent="0.2">
      <c r="A42" s="24" t="s">
        <v>34</v>
      </c>
      <c r="B42" s="14">
        <f>AH42</f>
        <v>316</v>
      </c>
      <c r="E42" s="61" t="s">
        <v>58</v>
      </c>
      <c r="F42" s="47">
        <f>SUM(F32:F41)</f>
        <v>431.4</v>
      </c>
      <c r="I42" s="61" t="s">
        <v>58</v>
      </c>
      <c r="J42" s="47">
        <f>SUM(J32:J41)</f>
        <v>0</v>
      </c>
      <c r="M42" s="61" t="s">
        <v>58</v>
      </c>
      <c r="N42" s="47">
        <f>SUM(N32:N41)</f>
        <v>111.44</v>
      </c>
      <c r="Q42" s="61" t="s">
        <v>58</v>
      </c>
      <c r="R42" s="47">
        <f>SUM(R32:R41)</f>
        <v>195.10999999999999</v>
      </c>
      <c r="U42" s="61" t="s">
        <v>58</v>
      </c>
      <c r="V42" s="47">
        <f>SUM(V32:V41)</f>
        <v>0</v>
      </c>
      <c r="Y42" s="61" t="s">
        <v>58</v>
      </c>
      <c r="Z42" s="47">
        <f>SUM(Z32:Z41)</f>
        <v>0</v>
      </c>
      <c r="AC42" s="61" t="s">
        <v>58</v>
      </c>
      <c r="AD42" s="47">
        <f>SUM(AD32:AD41)</f>
        <v>4034</v>
      </c>
      <c r="AG42" s="61" t="s">
        <v>58</v>
      </c>
      <c r="AH42" s="47">
        <f>SUM(AH32:AH41)</f>
        <v>316</v>
      </c>
    </row>
    <row r="44" spans="1:34" x14ac:dyDescent="0.2">
      <c r="E44" s="48" t="s">
        <v>92</v>
      </c>
      <c r="I44" s="48" t="s">
        <v>88</v>
      </c>
      <c r="M44" s="48" t="s">
        <v>93</v>
      </c>
    </row>
    <row r="45" spans="1:34" x14ac:dyDescent="0.2">
      <c r="A45" s="17" t="s">
        <v>35</v>
      </c>
      <c r="B45" s="19">
        <v>0</v>
      </c>
      <c r="D45" s="49" t="s">
        <v>57</v>
      </c>
      <c r="E45" s="49" t="s">
        <v>85</v>
      </c>
      <c r="F45" s="49" t="s">
        <v>54</v>
      </c>
      <c r="H45" s="49" t="s">
        <v>57</v>
      </c>
      <c r="I45" s="49" t="s">
        <v>87</v>
      </c>
      <c r="J45" s="49" t="s">
        <v>54</v>
      </c>
      <c r="L45" s="49" t="s">
        <v>57</v>
      </c>
      <c r="M45" s="49" t="s">
        <v>86</v>
      </c>
      <c r="N45" s="49" t="s">
        <v>54</v>
      </c>
    </row>
    <row r="46" spans="1:34" x14ac:dyDescent="0.2">
      <c r="A46" s="17" t="s">
        <v>36</v>
      </c>
      <c r="B46" s="19">
        <v>0</v>
      </c>
      <c r="D46" s="43"/>
      <c r="E46" s="43" t="s">
        <v>205</v>
      </c>
      <c r="F46" s="43">
        <v>468.48</v>
      </c>
      <c r="H46" s="43"/>
      <c r="I46" s="43"/>
      <c r="J46" s="43"/>
      <c r="L46" s="43"/>
      <c r="M46" s="43"/>
      <c r="N46" s="43"/>
    </row>
    <row r="47" spans="1:34" x14ac:dyDescent="0.2">
      <c r="A47" s="20" t="s">
        <v>37</v>
      </c>
      <c r="B47" s="22">
        <f>SUM(B48)</f>
        <v>791.97</v>
      </c>
      <c r="D47" s="43"/>
      <c r="E47" s="43" t="s">
        <v>206</v>
      </c>
      <c r="F47" s="43">
        <v>323.49</v>
      </c>
      <c r="H47" s="43"/>
      <c r="I47" s="43"/>
      <c r="J47" s="43"/>
      <c r="L47" s="43"/>
      <c r="M47" s="43"/>
      <c r="N47" s="43"/>
    </row>
    <row r="48" spans="1:34" x14ac:dyDescent="0.2">
      <c r="A48" s="12" t="s">
        <v>84</v>
      </c>
      <c r="B48" s="14">
        <f>F56</f>
        <v>791.97</v>
      </c>
      <c r="D48" s="43"/>
      <c r="E48" s="43"/>
      <c r="F48" s="43"/>
      <c r="H48" s="43"/>
      <c r="I48" s="43"/>
      <c r="J48" s="43"/>
      <c r="L48" s="43"/>
      <c r="M48" s="43"/>
      <c r="N48" s="43"/>
    </row>
    <row r="49" spans="1:14" x14ac:dyDescent="0.2">
      <c r="A49" s="17" t="s">
        <v>39</v>
      </c>
      <c r="B49" s="22">
        <v>0</v>
      </c>
      <c r="D49" s="43"/>
      <c r="E49" s="43"/>
      <c r="F49" s="43"/>
      <c r="H49" s="43"/>
      <c r="I49" s="43"/>
      <c r="J49" s="43"/>
      <c r="L49" s="43"/>
      <c r="M49" s="43"/>
      <c r="N49" s="43"/>
    </row>
    <row r="50" spans="1:14" x14ac:dyDescent="0.2">
      <c r="D50" s="43"/>
      <c r="E50" s="43"/>
      <c r="F50" s="43"/>
      <c r="H50" s="43"/>
      <c r="I50" s="43"/>
      <c r="J50" s="43"/>
      <c r="L50" s="43"/>
      <c r="M50" s="43"/>
      <c r="N50" s="43"/>
    </row>
    <row r="51" spans="1:14" x14ac:dyDescent="0.2">
      <c r="A51" s="20" t="s">
        <v>40</v>
      </c>
      <c r="B51" s="22">
        <f>SUM(B52:B53)</f>
        <v>0</v>
      </c>
      <c r="D51" s="43"/>
      <c r="E51" s="43"/>
      <c r="F51" s="43"/>
      <c r="H51" s="43"/>
      <c r="I51" s="43"/>
      <c r="J51" s="43"/>
      <c r="L51" s="43"/>
      <c r="M51" s="43"/>
      <c r="N51" s="43"/>
    </row>
    <row r="52" spans="1:14" x14ac:dyDescent="0.2">
      <c r="A52" s="12" t="s">
        <v>52</v>
      </c>
      <c r="B52" s="14">
        <f>J56</f>
        <v>0</v>
      </c>
      <c r="D52" s="43"/>
      <c r="E52" s="43"/>
      <c r="F52" s="43"/>
      <c r="H52" s="43"/>
      <c r="I52" s="43"/>
      <c r="J52" s="43"/>
      <c r="L52" s="43"/>
      <c r="M52" s="43"/>
      <c r="N52" s="43"/>
    </row>
    <row r="53" spans="1:14" x14ac:dyDescent="0.2">
      <c r="A53" s="12" t="s">
        <v>71</v>
      </c>
      <c r="B53" s="14">
        <f>N56</f>
        <v>0</v>
      </c>
      <c r="D53" s="43"/>
      <c r="E53" s="43"/>
      <c r="F53" s="43"/>
      <c r="H53" s="43"/>
      <c r="I53" s="43"/>
      <c r="J53" s="43"/>
      <c r="L53" s="43"/>
      <c r="M53" s="43"/>
      <c r="N53" s="43"/>
    </row>
    <row r="54" spans="1:14" ht="16" x14ac:dyDescent="0.2">
      <c r="A54" s="26" t="s">
        <v>42</v>
      </c>
      <c r="B54" s="19">
        <v>0</v>
      </c>
      <c r="D54" s="43"/>
      <c r="E54" s="43"/>
      <c r="F54" s="43"/>
      <c r="H54" s="43"/>
      <c r="I54" s="43"/>
      <c r="J54" s="43"/>
      <c r="L54" s="43"/>
      <c r="M54" s="43"/>
      <c r="N54" s="43"/>
    </row>
    <row r="55" spans="1:14" ht="17" thickBot="1" x14ac:dyDescent="0.25">
      <c r="A55" s="36" t="s">
        <v>43</v>
      </c>
      <c r="B55" s="29">
        <v>0</v>
      </c>
      <c r="D55" s="43"/>
      <c r="E55" s="43"/>
      <c r="F55" s="43"/>
      <c r="H55" s="43"/>
      <c r="I55" s="43"/>
      <c r="J55" s="43"/>
      <c r="L55" s="43"/>
      <c r="M55" s="43"/>
      <c r="N55" s="43"/>
    </row>
    <row r="56" spans="1:14" x14ac:dyDescent="0.2">
      <c r="E56" s="62" t="s">
        <v>58</v>
      </c>
      <c r="F56" s="49">
        <f>SUM(F46:F55)</f>
        <v>791.97</v>
      </c>
      <c r="I56" s="62" t="s">
        <v>58</v>
      </c>
      <c r="J56" s="49">
        <f>SUM(J46:J55)</f>
        <v>0</v>
      </c>
      <c r="M56" s="62" t="s">
        <v>58</v>
      </c>
      <c r="N56" s="49">
        <f>SUM(N46:N55)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5F95-31C9-40AC-8208-38E654D9E76C}">
  <dimension ref="A1:Q80"/>
  <sheetViews>
    <sheetView workbookViewId="0">
      <selection activeCell="A24" sqref="A24"/>
    </sheetView>
  </sheetViews>
  <sheetFormatPr baseColWidth="10" defaultRowHeight="15" x14ac:dyDescent="0.2"/>
  <cols>
    <col min="1" max="1" width="53.5" bestFit="1" customWidth="1"/>
    <col min="4" max="4" width="9.1640625" customWidth="1"/>
    <col min="5" max="5" width="40.83203125" bestFit="1" customWidth="1"/>
    <col min="8" max="8" width="17.33203125" bestFit="1" customWidth="1"/>
    <col min="9" max="9" width="13" bestFit="1" customWidth="1"/>
    <col min="10" max="10" width="6.5" bestFit="1" customWidth="1"/>
    <col min="11" max="11" width="6.6640625" bestFit="1" customWidth="1"/>
    <col min="12" max="12" width="8.83203125" bestFit="1" customWidth="1"/>
    <col min="13" max="13" width="9.5" bestFit="1" customWidth="1"/>
    <col min="14" max="14" width="7.83203125" customWidth="1"/>
    <col min="15" max="15" width="8.5" customWidth="1"/>
    <col min="16" max="16" width="0" hidden="1" customWidth="1"/>
  </cols>
  <sheetData>
    <row r="1" spans="1:17" s="52" customFormat="1" ht="26" x14ac:dyDescent="0.3">
      <c r="A1" s="51" t="s">
        <v>1</v>
      </c>
      <c r="D1" s="51" t="s">
        <v>166</v>
      </c>
    </row>
    <row r="2" spans="1:17" x14ac:dyDescent="0.2">
      <c r="H2" s="50"/>
    </row>
    <row r="3" spans="1:17" ht="16" thickBot="1" x14ac:dyDescent="0.25">
      <c r="A3" s="59" t="s">
        <v>170</v>
      </c>
      <c r="E3" s="48" t="s">
        <v>167</v>
      </c>
      <c r="H3" s="53" t="s">
        <v>152</v>
      </c>
      <c r="I3" s="53" t="s">
        <v>153</v>
      </c>
      <c r="J3" s="53" t="s">
        <v>157</v>
      </c>
      <c r="K3" s="53" t="s">
        <v>158</v>
      </c>
      <c r="L3" s="53" t="s">
        <v>159</v>
      </c>
      <c r="M3" s="53" t="s">
        <v>160</v>
      </c>
      <c r="N3" s="58" t="s">
        <v>164</v>
      </c>
      <c r="O3" s="58" t="s">
        <v>165</v>
      </c>
    </row>
    <row r="4" spans="1:17" x14ac:dyDescent="0.2">
      <c r="A4" s="8" t="s">
        <v>3</v>
      </c>
      <c r="B4" s="10">
        <f>SUM(B5:B6)</f>
        <v>3277.24</v>
      </c>
      <c r="D4" s="44" t="s">
        <v>57</v>
      </c>
      <c r="E4" s="44" t="s">
        <v>8</v>
      </c>
      <c r="F4" s="44" t="s">
        <v>54</v>
      </c>
      <c r="H4" s="43" t="s">
        <v>108</v>
      </c>
      <c r="I4" s="43" t="s">
        <v>109</v>
      </c>
      <c r="J4" s="54">
        <v>171.7</v>
      </c>
      <c r="K4" s="54">
        <v>4</v>
      </c>
      <c r="L4" s="54">
        <f>P4-K4-J4</f>
        <v>153</v>
      </c>
      <c r="M4" s="54">
        <f t="shared" ref="M4:M28" si="0">J4+K4+L4</f>
        <v>328.7</v>
      </c>
      <c r="N4" s="54">
        <v>0</v>
      </c>
      <c r="O4" s="54">
        <f>M4-N4</f>
        <v>328.7</v>
      </c>
      <c r="P4">
        <v>328.7</v>
      </c>
      <c r="Q4">
        <v>237.7</v>
      </c>
    </row>
    <row r="5" spans="1:17" x14ac:dyDescent="0.2">
      <c r="A5" s="12" t="s">
        <v>4</v>
      </c>
      <c r="B5" s="14"/>
      <c r="D5" s="43">
        <v>44900</v>
      </c>
      <c r="E5" s="43" t="s">
        <v>173</v>
      </c>
      <c r="F5" s="43">
        <v>50</v>
      </c>
      <c r="H5" s="43" t="s">
        <v>110</v>
      </c>
      <c r="I5" s="43" t="s">
        <v>111</v>
      </c>
      <c r="J5" s="54">
        <v>171.7</v>
      </c>
      <c r="K5" s="54">
        <v>4</v>
      </c>
      <c r="L5" s="54">
        <f t="shared" ref="L5:L28" si="1">P5-K5-J5</f>
        <v>153</v>
      </c>
      <c r="M5" s="54">
        <f t="shared" si="0"/>
        <v>328.7</v>
      </c>
      <c r="N5" s="54">
        <v>328.7</v>
      </c>
      <c r="O5" s="54">
        <f t="shared" ref="O5:O28" si="2">M5-N5</f>
        <v>0</v>
      </c>
      <c r="P5">
        <v>328.7</v>
      </c>
      <c r="Q5">
        <v>282.7</v>
      </c>
    </row>
    <row r="6" spans="1:17" x14ac:dyDescent="0.2">
      <c r="A6" s="12" t="s">
        <v>5</v>
      </c>
      <c r="B6" s="14">
        <v>3277.24</v>
      </c>
      <c r="D6" s="43">
        <v>44903</v>
      </c>
      <c r="E6" t="s">
        <v>174</v>
      </c>
      <c r="F6" s="43">
        <v>100</v>
      </c>
      <c r="H6" s="43" t="s">
        <v>112</v>
      </c>
      <c r="I6" s="43" t="s">
        <v>113</v>
      </c>
      <c r="J6" s="54">
        <v>171.7</v>
      </c>
      <c r="K6" s="54">
        <v>4</v>
      </c>
      <c r="L6" s="54">
        <f t="shared" si="1"/>
        <v>153</v>
      </c>
      <c r="M6" s="54">
        <f t="shared" si="0"/>
        <v>328.7</v>
      </c>
      <c r="N6" s="54">
        <v>328.7</v>
      </c>
      <c r="O6" s="54">
        <f t="shared" si="2"/>
        <v>0</v>
      </c>
      <c r="P6">
        <v>328.7</v>
      </c>
      <c r="Q6">
        <v>328.7</v>
      </c>
    </row>
    <row r="7" spans="1:17" x14ac:dyDescent="0.2">
      <c r="A7" s="17" t="s">
        <v>6</v>
      </c>
      <c r="B7" s="19">
        <v>0</v>
      </c>
      <c r="D7" s="43">
        <v>44904</v>
      </c>
      <c r="E7" t="s">
        <v>175</v>
      </c>
      <c r="F7" s="43">
        <v>300</v>
      </c>
      <c r="H7" s="43" t="s">
        <v>140</v>
      </c>
      <c r="I7" s="43" t="s">
        <v>114</v>
      </c>
      <c r="J7" s="54">
        <v>171.7</v>
      </c>
      <c r="K7" s="54">
        <v>4</v>
      </c>
      <c r="L7" s="54">
        <f t="shared" si="1"/>
        <v>199</v>
      </c>
      <c r="M7" s="54">
        <f t="shared" si="0"/>
        <v>374.7</v>
      </c>
      <c r="N7" s="54">
        <v>374.7</v>
      </c>
      <c r="O7" s="54">
        <f t="shared" si="2"/>
        <v>0</v>
      </c>
      <c r="P7">
        <f>298.7+76</f>
        <v>374.7</v>
      </c>
      <c r="Q7">
        <v>374.7</v>
      </c>
    </row>
    <row r="8" spans="1:17" x14ac:dyDescent="0.2">
      <c r="A8" s="17" t="s">
        <v>7</v>
      </c>
      <c r="B8" s="19">
        <v>0</v>
      </c>
      <c r="D8" s="43">
        <v>44914</v>
      </c>
      <c r="E8" t="s">
        <v>176</v>
      </c>
      <c r="F8" s="43">
        <v>300</v>
      </c>
      <c r="H8" s="43" t="s">
        <v>141</v>
      </c>
      <c r="I8" s="43" t="s">
        <v>115</v>
      </c>
      <c r="J8" s="54">
        <v>171.7</v>
      </c>
      <c r="K8" s="54">
        <v>4</v>
      </c>
      <c r="L8" s="54">
        <f t="shared" si="1"/>
        <v>199</v>
      </c>
      <c r="M8" s="54">
        <f t="shared" si="0"/>
        <v>374.7</v>
      </c>
      <c r="N8" s="54">
        <v>374.7</v>
      </c>
      <c r="O8" s="54">
        <f t="shared" si="2"/>
        <v>0</v>
      </c>
      <c r="P8">
        <f>298.7+76</f>
        <v>374.7</v>
      </c>
      <c r="Q8">
        <v>420.7</v>
      </c>
    </row>
    <row r="9" spans="1:17" x14ac:dyDescent="0.2">
      <c r="A9" s="20" t="s">
        <v>8</v>
      </c>
      <c r="B9" s="22">
        <f>+F21</f>
        <v>3245</v>
      </c>
      <c r="D9" s="43">
        <v>44935</v>
      </c>
      <c r="E9" t="s">
        <v>177</v>
      </c>
      <c r="F9" s="43">
        <v>200</v>
      </c>
      <c r="H9" s="43" t="s">
        <v>116</v>
      </c>
      <c r="I9" s="43" t="s">
        <v>117</v>
      </c>
      <c r="J9" s="54">
        <v>171.7</v>
      </c>
      <c r="K9" s="54">
        <v>4</v>
      </c>
      <c r="L9" s="54">
        <f t="shared" si="1"/>
        <v>199</v>
      </c>
      <c r="M9" s="54">
        <f t="shared" si="0"/>
        <v>374.7</v>
      </c>
      <c r="N9" s="54">
        <v>374.7</v>
      </c>
      <c r="O9" s="54">
        <f t="shared" si="2"/>
        <v>0</v>
      </c>
      <c r="P9">
        <f>298.7+76</f>
        <v>374.7</v>
      </c>
    </row>
    <row r="10" spans="1:17" x14ac:dyDescent="0.2">
      <c r="A10" s="20" t="s">
        <v>9</v>
      </c>
      <c r="B10" s="22">
        <f>SUM(B11:B13)</f>
        <v>7225.2999999999975</v>
      </c>
      <c r="D10" s="43">
        <v>44944</v>
      </c>
      <c r="E10" t="s">
        <v>178</v>
      </c>
      <c r="F10" s="43">
        <v>45</v>
      </c>
      <c r="H10" s="43" t="s">
        <v>142</v>
      </c>
      <c r="I10" s="43" t="s">
        <v>118</v>
      </c>
      <c r="J10" s="54">
        <v>171.7</v>
      </c>
      <c r="K10" s="54">
        <v>4</v>
      </c>
      <c r="L10" s="54">
        <f t="shared" si="1"/>
        <v>-175.7</v>
      </c>
      <c r="M10" s="54">
        <f t="shared" si="0"/>
        <v>0</v>
      </c>
      <c r="N10" s="54"/>
      <c r="O10" s="54">
        <f t="shared" si="2"/>
        <v>0</v>
      </c>
    </row>
    <row r="11" spans="1:17" x14ac:dyDescent="0.2">
      <c r="A11" s="12" t="s">
        <v>10</v>
      </c>
      <c r="B11" s="14"/>
      <c r="D11" s="43">
        <v>44944</v>
      </c>
      <c r="E11" t="s">
        <v>178</v>
      </c>
      <c r="F11" s="43">
        <v>100</v>
      </c>
      <c r="H11" s="43" t="s">
        <v>119</v>
      </c>
      <c r="I11" s="43" t="s">
        <v>117</v>
      </c>
      <c r="J11" s="54">
        <v>171.7</v>
      </c>
      <c r="K11" s="54">
        <v>4</v>
      </c>
      <c r="L11" s="54">
        <f t="shared" si="1"/>
        <v>245</v>
      </c>
      <c r="M11" s="54">
        <f t="shared" si="0"/>
        <v>420.7</v>
      </c>
      <c r="N11" s="54">
        <v>420.7</v>
      </c>
      <c r="O11" s="54">
        <f t="shared" si="2"/>
        <v>0</v>
      </c>
      <c r="P11">
        <v>420.7</v>
      </c>
    </row>
    <row r="12" spans="1:17" x14ac:dyDescent="0.2">
      <c r="A12" s="24" t="s">
        <v>12</v>
      </c>
      <c r="B12" s="14">
        <f>+N32</f>
        <v>7225.2999999999975</v>
      </c>
      <c r="D12" s="43">
        <v>44944</v>
      </c>
      <c r="E12" t="s">
        <v>178</v>
      </c>
      <c r="F12" s="43">
        <v>350</v>
      </c>
      <c r="H12" s="43" t="s">
        <v>143</v>
      </c>
      <c r="I12" s="43" t="s">
        <v>120</v>
      </c>
      <c r="J12" s="54">
        <v>171.7</v>
      </c>
      <c r="K12" s="54">
        <v>4</v>
      </c>
      <c r="L12" s="54">
        <f t="shared" si="1"/>
        <v>153</v>
      </c>
      <c r="M12" s="54">
        <f t="shared" si="0"/>
        <v>328.7</v>
      </c>
      <c r="N12" s="54">
        <v>328.7</v>
      </c>
      <c r="O12" s="54">
        <f t="shared" si="2"/>
        <v>0</v>
      </c>
      <c r="P12">
        <v>328.7</v>
      </c>
    </row>
    <row r="13" spans="1:17" x14ac:dyDescent="0.2">
      <c r="A13" s="12" t="s">
        <v>14</v>
      </c>
      <c r="B13" s="14">
        <f>+F51</f>
        <v>0</v>
      </c>
      <c r="D13" s="43">
        <v>44945</v>
      </c>
      <c r="E13" s="43" t="s">
        <v>179</v>
      </c>
      <c r="F13" s="43">
        <v>100</v>
      </c>
      <c r="H13" s="43" t="s">
        <v>144</v>
      </c>
      <c r="I13" s="43" t="s">
        <v>121</v>
      </c>
      <c r="J13" s="54">
        <v>171.7</v>
      </c>
      <c r="K13" s="54">
        <v>4</v>
      </c>
      <c r="L13" s="54">
        <f t="shared" si="1"/>
        <v>199</v>
      </c>
      <c r="M13" s="54">
        <f t="shared" si="0"/>
        <v>374.7</v>
      </c>
      <c r="N13" s="54">
        <v>374.7</v>
      </c>
      <c r="O13" s="54">
        <f t="shared" si="2"/>
        <v>0</v>
      </c>
      <c r="P13">
        <v>374.7</v>
      </c>
    </row>
    <row r="14" spans="1:17" x14ac:dyDescent="0.2">
      <c r="A14" s="20" t="s">
        <v>16</v>
      </c>
      <c r="B14" s="22">
        <f>SUM(B15)</f>
        <v>0</v>
      </c>
      <c r="D14" s="43">
        <v>44963</v>
      </c>
      <c r="E14" s="43" t="s">
        <v>180</v>
      </c>
      <c r="F14" s="43">
        <v>300</v>
      </c>
      <c r="H14" s="43" t="s">
        <v>122</v>
      </c>
      <c r="I14" s="43" t="s">
        <v>123</v>
      </c>
      <c r="J14" s="54">
        <v>171.7</v>
      </c>
      <c r="K14" s="54">
        <v>4</v>
      </c>
      <c r="L14" s="54">
        <f t="shared" si="1"/>
        <v>199</v>
      </c>
      <c r="M14" s="54">
        <f t="shared" si="0"/>
        <v>374.7</v>
      </c>
      <c r="N14" s="54">
        <v>374.7</v>
      </c>
      <c r="O14" s="54">
        <f t="shared" si="2"/>
        <v>0</v>
      </c>
      <c r="P14">
        <v>374.7</v>
      </c>
    </row>
    <row r="15" spans="1:17" x14ac:dyDescent="0.2">
      <c r="A15" s="12" t="s">
        <v>17</v>
      </c>
      <c r="B15" s="14">
        <f>+F37</f>
        <v>0</v>
      </c>
      <c r="D15" s="43">
        <v>44965</v>
      </c>
      <c r="E15" s="43" t="s">
        <v>181</v>
      </c>
      <c r="F15" s="43">
        <v>200</v>
      </c>
      <c r="H15" s="43" t="s">
        <v>124</v>
      </c>
      <c r="I15" s="43" t="s">
        <v>125</v>
      </c>
      <c r="J15" s="54">
        <v>171.7</v>
      </c>
      <c r="K15" s="54">
        <v>4</v>
      </c>
      <c r="L15" s="54">
        <f t="shared" si="1"/>
        <v>153</v>
      </c>
      <c r="M15" s="54">
        <f t="shared" si="0"/>
        <v>328.7</v>
      </c>
      <c r="N15" s="54">
        <v>328.7</v>
      </c>
      <c r="O15" s="54">
        <f t="shared" si="2"/>
        <v>0</v>
      </c>
      <c r="P15">
        <v>328.7</v>
      </c>
    </row>
    <row r="16" spans="1:17" x14ac:dyDescent="0.2">
      <c r="A16" s="20" t="s">
        <v>18</v>
      </c>
      <c r="B16" s="22">
        <f>SUM(B17:B17)</f>
        <v>0</v>
      </c>
      <c r="D16" s="43">
        <v>44971</v>
      </c>
      <c r="E16" s="43" t="s">
        <v>182</v>
      </c>
      <c r="F16" s="43">
        <v>100</v>
      </c>
      <c r="H16" s="43" t="s">
        <v>126</v>
      </c>
      <c r="I16" s="43" t="s">
        <v>127</v>
      </c>
      <c r="J16" s="54">
        <v>171.7</v>
      </c>
      <c r="K16" s="54">
        <v>4</v>
      </c>
      <c r="L16" s="54">
        <f t="shared" si="1"/>
        <v>153</v>
      </c>
      <c r="M16" s="54">
        <f t="shared" si="0"/>
        <v>328.7</v>
      </c>
      <c r="N16" s="54">
        <v>328.7</v>
      </c>
      <c r="O16" s="54">
        <f t="shared" si="2"/>
        <v>0</v>
      </c>
      <c r="P16">
        <v>328.7</v>
      </c>
    </row>
    <row r="17" spans="1:16" x14ac:dyDescent="0.2">
      <c r="A17" s="24" t="s">
        <v>100</v>
      </c>
      <c r="B17" s="14">
        <f>F65</f>
        <v>0</v>
      </c>
      <c r="D17" s="43">
        <v>44977</v>
      </c>
      <c r="E17" s="43" t="s">
        <v>183</v>
      </c>
      <c r="F17" s="43">
        <v>100</v>
      </c>
      <c r="H17" s="43" t="s">
        <v>154</v>
      </c>
      <c r="I17" s="43" t="s">
        <v>128</v>
      </c>
      <c r="J17" s="54"/>
      <c r="K17" s="54"/>
      <c r="L17" s="54">
        <f t="shared" si="1"/>
        <v>153</v>
      </c>
      <c r="M17" s="54">
        <f t="shared" si="0"/>
        <v>153</v>
      </c>
      <c r="N17" s="54">
        <v>153</v>
      </c>
      <c r="O17" s="54">
        <f t="shared" si="2"/>
        <v>0</v>
      </c>
      <c r="P17">
        <v>153</v>
      </c>
    </row>
    <row r="18" spans="1:16" x14ac:dyDescent="0.2">
      <c r="A18" s="24" t="s">
        <v>99</v>
      </c>
      <c r="B18" s="14">
        <f>F80</f>
        <v>30</v>
      </c>
      <c r="D18" s="43">
        <v>45013</v>
      </c>
      <c r="E18" s="43" t="s">
        <v>184</v>
      </c>
      <c r="F18" s="43">
        <v>800</v>
      </c>
      <c r="H18" s="43" t="s">
        <v>129</v>
      </c>
      <c r="I18" s="43" t="s">
        <v>115</v>
      </c>
      <c r="J18" s="54">
        <v>171.7</v>
      </c>
      <c r="K18" s="54">
        <v>4</v>
      </c>
      <c r="L18" s="54">
        <f t="shared" si="1"/>
        <v>199</v>
      </c>
      <c r="M18" s="54">
        <f t="shared" si="0"/>
        <v>374.7</v>
      </c>
      <c r="N18" s="54">
        <v>374.7</v>
      </c>
      <c r="O18" s="54">
        <f t="shared" si="2"/>
        <v>0</v>
      </c>
      <c r="P18">
        <v>374.7</v>
      </c>
    </row>
    <row r="19" spans="1:16" ht="16" x14ac:dyDescent="0.2">
      <c r="A19" s="26" t="s">
        <v>25</v>
      </c>
      <c r="B19" s="19">
        <v>0</v>
      </c>
      <c r="D19" s="43">
        <v>45070</v>
      </c>
      <c r="E19" s="43" t="s">
        <v>178</v>
      </c>
      <c r="F19" s="43">
        <v>200</v>
      </c>
      <c r="H19" s="43" t="s">
        <v>150</v>
      </c>
      <c r="I19" s="43" t="s">
        <v>130</v>
      </c>
      <c r="J19" s="54"/>
      <c r="K19" s="54"/>
      <c r="L19" s="54">
        <f t="shared" si="1"/>
        <v>107</v>
      </c>
      <c r="M19" s="54">
        <f t="shared" si="0"/>
        <v>107</v>
      </c>
      <c r="N19" s="54">
        <v>107</v>
      </c>
      <c r="O19" s="54">
        <f t="shared" si="2"/>
        <v>0</v>
      </c>
      <c r="P19">
        <f>31+76</f>
        <v>107</v>
      </c>
    </row>
    <row r="20" spans="1:16" ht="16" thickBot="1" x14ac:dyDescent="0.25">
      <c r="A20" s="27" t="s">
        <v>27</v>
      </c>
      <c r="B20" s="29">
        <v>0</v>
      </c>
      <c r="D20" s="43"/>
      <c r="E20" s="43"/>
      <c r="F20" s="43"/>
      <c r="H20" s="43" t="s">
        <v>145</v>
      </c>
      <c r="I20" s="43" t="s">
        <v>155</v>
      </c>
      <c r="J20" s="54">
        <v>171.7</v>
      </c>
      <c r="K20" s="54">
        <v>4</v>
      </c>
      <c r="L20" s="54">
        <f t="shared" si="1"/>
        <v>153</v>
      </c>
      <c r="M20" s="54">
        <f t="shared" si="0"/>
        <v>328.7</v>
      </c>
      <c r="N20" s="54">
        <v>328.7</v>
      </c>
      <c r="O20" s="54">
        <f t="shared" si="2"/>
        <v>0</v>
      </c>
      <c r="P20">
        <f>252.7+76</f>
        <v>328.7</v>
      </c>
    </row>
    <row r="21" spans="1:16" x14ac:dyDescent="0.2">
      <c r="E21" s="56" t="s">
        <v>58</v>
      </c>
      <c r="F21" s="44">
        <f>SUM(F5:F20)</f>
        <v>3245</v>
      </c>
      <c r="H21" s="43" t="s">
        <v>146</v>
      </c>
      <c r="I21" s="43" t="s">
        <v>131</v>
      </c>
      <c r="J21" s="54"/>
      <c r="K21" s="54"/>
      <c r="L21" s="54">
        <f t="shared" si="1"/>
        <v>153</v>
      </c>
      <c r="M21" s="54">
        <f t="shared" si="0"/>
        <v>153</v>
      </c>
      <c r="N21" s="54">
        <v>153</v>
      </c>
      <c r="O21" s="54">
        <f t="shared" si="2"/>
        <v>0</v>
      </c>
      <c r="P21">
        <f>77+76</f>
        <v>153</v>
      </c>
    </row>
    <row r="22" spans="1:16" x14ac:dyDescent="0.2">
      <c r="A22" s="59" t="s">
        <v>169</v>
      </c>
      <c r="H22" s="43" t="s">
        <v>132</v>
      </c>
      <c r="I22" s="43" t="s">
        <v>133</v>
      </c>
      <c r="J22" s="54">
        <v>171.7</v>
      </c>
      <c r="K22" s="54">
        <v>4</v>
      </c>
      <c r="L22" s="54">
        <f t="shared" si="1"/>
        <v>153</v>
      </c>
      <c r="M22" s="54">
        <f t="shared" si="0"/>
        <v>328.7</v>
      </c>
      <c r="N22" s="54">
        <v>328.7</v>
      </c>
      <c r="O22" s="54">
        <f t="shared" si="2"/>
        <v>0</v>
      </c>
      <c r="P22">
        <f>252.7+76</f>
        <v>328.7</v>
      </c>
    </row>
    <row r="23" spans="1:16" x14ac:dyDescent="0.2">
      <c r="H23" s="43" t="s">
        <v>151</v>
      </c>
      <c r="I23" s="43" t="s">
        <v>134</v>
      </c>
      <c r="J23" s="54">
        <v>171.7</v>
      </c>
      <c r="K23" s="54">
        <v>4</v>
      </c>
      <c r="L23" s="54">
        <f t="shared" si="1"/>
        <v>153</v>
      </c>
      <c r="M23" s="54">
        <f t="shared" si="0"/>
        <v>328.7</v>
      </c>
      <c r="N23" s="54">
        <v>328.7</v>
      </c>
      <c r="O23" s="54">
        <f t="shared" si="2"/>
        <v>0</v>
      </c>
      <c r="P23">
        <v>328.7</v>
      </c>
    </row>
    <row r="24" spans="1:16" x14ac:dyDescent="0.2">
      <c r="H24" s="43" t="s">
        <v>135</v>
      </c>
      <c r="I24" s="43" t="s">
        <v>136</v>
      </c>
      <c r="J24" s="54">
        <v>171.7</v>
      </c>
      <c r="K24" s="54">
        <v>4</v>
      </c>
      <c r="L24" s="54">
        <f t="shared" si="1"/>
        <v>107</v>
      </c>
      <c r="M24" s="54">
        <f t="shared" si="0"/>
        <v>282.7</v>
      </c>
      <c r="N24" s="54">
        <v>282.7</v>
      </c>
      <c r="O24" s="54">
        <f t="shared" si="2"/>
        <v>0</v>
      </c>
      <c r="P24">
        <f>206.7+76</f>
        <v>282.7</v>
      </c>
    </row>
    <row r="25" spans="1:16" x14ac:dyDescent="0.2">
      <c r="E25" s="48" t="s">
        <v>107</v>
      </c>
      <c r="H25" s="43" t="s">
        <v>147</v>
      </c>
      <c r="I25" s="43" t="s">
        <v>156</v>
      </c>
      <c r="J25" s="54"/>
      <c r="K25" s="54"/>
      <c r="L25" s="54">
        <f t="shared" si="1"/>
        <v>199</v>
      </c>
      <c r="M25" s="54">
        <f t="shared" si="0"/>
        <v>199</v>
      </c>
      <c r="N25" s="54">
        <v>199</v>
      </c>
      <c r="O25" s="54">
        <f t="shared" si="2"/>
        <v>0</v>
      </c>
      <c r="P25">
        <f>123+76</f>
        <v>199</v>
      </c>
    </row>
    <row r="26" spans="1:16" x14ac:dyDescent="0.2">
      <c r="D26" s="44" t="s">
        <v>57</v>
      </c>
      <c r="E26" s="44" t="s">
        <v>17</v>
      </c>
      <c r="F26" s="44" t="s">
        <v>54</v>
      </c>
      <c r="H26" s="43" t="s">
        <v>137</v>
      </c>
      <c r="I26" s="43" t="s">
        <v>130</v>
      </c>
      <c r="J26" s="54">
        <v>171.7</v>
      </c>
      <c r="K26" s="54">
        <v>4</v>
      </c>
      <c r="L26" s="54">
        <f t="shared" si="1"/>
        <v>199</v>
      </c>
      <c r="M26" s="54">
        <f t="shared" si="0"/>
        <v>374.7</v>
      </c>
      <c r="N26" s="54">
        <v>374.7</v>
      </c>
      <c r="O26" s="54">
        <f t="shared" si="2"/>
        <v>0</v>
      </c>
      <c r="P26">
        <f>298.7+76</f>
        <v>374.7</v>
      </c>
    </row>
    <row r="27" spans="1:16" x14ac:dyDescent="0.2">
      <c r="D27" s="43"/>
      <c r="E27" s="43"/>
      <c r="F27" s="43"/>
      <c r="H27" s="43" t="s">
        <v>148</v>
      </c>
      <c r="I27" s="43" t="s">
        <v>138</v>
      </c>
      <c r="J27" s="54">
        <v>171.7</v>
      </c>
      <c r="K27" s="54">
        <v>4</v>
      </c>
      <c r="L27" s="54">
        <f t="shared" si="1"/>
        <v>153</v>
      </c>
      <c r="M27" s="54">
        <f t="shared" si="0"/>
        <v>328.7</v>
      </c>
      <c r="N27" s="54">
        <v>328.7</v>
      </c>
      <c r="O27" s="54">
        <f t="shared" si="2"/>
        <v>0</v>
      </c>
      <c r="P27">
        <f>252.7+76</f>
        <v>328.7</v>
      </c>
    </row>
    <row r="28" spans="1:16" x14ac:dyDescent="0.2">
      <c r="D28" s="43"/>
      <c r="F28" s="43"/>
      <c r="H28" s="43" t="s">
        <v>149</v>
      </c>
      <c r="I28" s="43" t="s">
        <v>139</v>
      </c>
      <c r="J28" s="54">
        <v>171.7</v>
      </c>
      <c r="K28" s="54">
        <v>4</v>
      </c>
      <c r="L28" s="54">
        <f t="shared" si="1"/>
        <v>153</v>
      </c>
      <c r="M28" s="54">
        <f t="shared" si="0"/>
        <v>328.7</v>
      </c>
      <c r="N28" s="54">
        <v>328.7</v>
      </c>
      <c r="O28" s="54">
        <f t="shared" si="2"/>
        <v>0</v>
      </c>
      <c r="P28">
        <v>328.7</v>
      </c>
    </row>
    <row r="29" spans="1:16" x14ac:dyDescent="0.2">
      <c r="D29" s="43"/>
      <c r="E29" s="43"/>
      <c r="F29" s="43"/>
      <c r="H29" s="43"/>
      <c r="I29" s="43"/>
      <c r="J29" s="54"/>
      <c r="K29" s="54"/>
      <c r="L29" s="54"/>
      <c r="M29" s="54"/>
      <c r="N29" s="54"/>
      <c r="O29" s="54"/>
    </row>
    <row r="30" spans="1:16" x14ac:dyDescent="0.2">
      <c r="D30" s="43"/>
      <c r="E30" s="43"/>
      <c r="F30" s="43"/>
      <c r="H30" s="43"/>
      <c r="I30" s="43"/>
      <c r="J30" s="54"/>
      <c r="K30" s="54"/>
      <c r="L30" s="54"/>
      <c r="M30" s="54"/>
      <c r="N30" s="54"/>
      <c r="O30" s="54"/>
    </row>
    <row r="31" spans="1:16" x14ac:dyDescent="0.2">
      <c r="D31" s="43"/>
      <c r="E31" s="43"/>
      <c r="F31" s="43"/>
      <c r="H31" s="43"/>
      <c r="I31" s="43"/>
      <c r="J31" s="54"/>
      <c r="K31" s="54"/>
      <c r="L31" s="54"/>
      <c r="M31" s="54"/>
      <c r="N31" s="54"/>
      <c r="O31" s="54"/>
    </row>
    <row r="32" spans="1:16" x14ac:dyDescent="0.2">
      <c r="D32" s="43"/>
      <c r="E32" s="43"/>
      <c r="F32" s="43"/>
      <c r="J32" s="55"/>
      <c r="K32" s="55"/>
      <c r="L32" s="55"/>
      <c r="M32" s="55"/>
      <c r="N32" s="57">
        <f>SUM(N4:N31)</f>
        <v>7225.2999999999975</v>
      </c>
      <c r="O32" s="57">
        <f>SUM(O4:O31)</f>
        <v>328.7</v>
      </c>
    </row>
    <row r="33" spans="4:15" x14ac:dyDescent="0.2">
      <c r="D33" s="43"/>
      <c r="E33" s="43"/>
      <c r="F33" s="43"/>
      <c r="J33" s="55"/>
      <c r="K33" s="55"/>
      <c r="L33" s="55"/>
      <c r="M33" s="55"/>
      <c r="N33" s="55"/>
      <c r="O33" s="55"/>
    </row>
    <row r="34" spans="4:15" x14ac:dyDescent="0.2">
      <c r="D34" s="43"/>
      <c r="E34" s="43"/>
      <c r="F34" s="43"/>
      <c r="J34" s="55"/>
      <c r="K34" s="55"/>
      <c r="L34" s="55"/>
      <c r="M34" s="55"/>
      <c r="N34" s="55"/>
      <c r="O34" s="55"/>
    </row>
    <row r="35" spans="4:15" x14ac:dyDescent="0.2">
      <c r="D35" s="43"/>
      <c r="E35" s="43"/>
      <c r="F35" s="43"/>
      <c r="H35" s="48" t="s">
        <v>163</v>
      </c>
    </row>
    <row r="36" spans="4:15" x14ac:dyDescent="0.2">
      <c r="D36" s="43"/>
      <c r="E36" s="43"/>
      <c r="F36" s="43"/>
    </row>
    <row r="37" spans="4:15" x14ac:dyDescent="0.2">
      <c r="E37" s="56" t="s">
        <v>58</v>
      </c>
      <c r="F37" s="44">
        <f>SUM(F27:F36)</f>
        <v>0</v>
      </c>
    </row>
    <row r="39" spans="4:15" x14ac:dyDescent="0.2">
      <c r="E39" s="48" t="s">
        <v>168</v>
      </c>
    </row>
    <row r="40" spans="4:15" x14ac:dyDescent="0.2">
      <c r="D40" s="44" t="s">
        <v>57</v>
      </c>
      <c r="E40" s="44" t="s">
        <v>14</v>
      </c>
      <c r="F40" s="44" t="s">
        <v>54</v>
      </c>
    </row>
    <row r="41" spans="4:15" x14ac:dyDescent="0.2">
      <c r="D41" s="43"/>
      <c r="E41" s="43"/>
      <c r="F41" s="43"/>
    </row>
    <row r="42" spans="4:15" x14ac:dyDescent="0.2">
      <c r="D42" s="43"/>
      <c r="F42" s="43"/>
    </row>
    <row r="43" spans="4:15" x14ac:dyDescent="0.2">
      <c r="D43" s="43"/>
      <c r="E43" s="43"/>
      <c r="F43" s="43"/>
    </row>
    <row r="44" spans="4:15" x14ac:dyDescent="0.2">
      <c r="D44" s="43"/>
      <c r="E44" s="43"/>
      <c r="F44" s="43"/>
    </row>
    <row r="45" spans="4:15" x14ac:dyDescent="0.2">
      <c r="D45" s="43"/>
      <c r="E45" s="43"/>
      <c r="F45" s="43"/>
    </row>
    <row r="46" spans="4:15" x14ac:dyDescent="0.2">
      <c r="D46" s="43"/>
      <c r="E46" s="43"/>
      <c r="F46" s="43"/>
    </row>
    <row r="47" spans="4:15" x14ac:dyDescent="0.2">
      <c r="D47" s="43"/>
      <c r="E47" s="43"/>
      <c r="F47" s="43"/>
    </row>
    <row r="48" spans="4:15" x14ac:dyDescent="0.2">
      <c r="D48" s="43"/>
      <c r="E48" s="43"/>
      <c r="F48" s="43"/>
    </row>
    <row r="49" spans="4:6" x14ac:dyDescent="0.2">
      <c r="D49" s="43"/>
      <c r="E49" s="43"/>
      <c r="F49" s="43"/>
    </row>
    <row r="50" spans="4:6" x14ac:dyDescent="0.2">
      <c r="D50" s="43"/>
      <c r="E50" s="43"/>
      <c r="F50" s="43"/>
    </row>
    <row r="51" spans="4:6" x14ac:dyDescent="0.2">
      <c r="E51" s="56" t="s">
        <v>58</v>
      </c>
      <c r="F51" s="44">
        <f>SUM(F41:F50)</f>
        <v>0</v>
      </c>
    </row>
    <row r="54" spans="4:6" x14ac:dyDescent="0.2">
      <c r="D54" s="44" t="s">
        <v>57</v>
      </c>
      <c r="E54" s="44" t="s">
        <v>100</v>
      </c>
      <c r="F54" s="44" t="s">
        <v>54</v>
      </c>
    </row>
    <row r="55" spans="4:6" x14ac:dyDescent="0.2">
      <c r="D55" s="43"/>
      <c r="E55" s="43"/>
      <c r="F55" s="43"/>
    </row>
    <row r="56" spans="4:6" x14ac:dyDescent="0.2">
      <c r="D56" s="43"/>
      <c r="F56" s="43"/>
    </row>
    <row r="57" spans="4:6" x14ac:dyDescent="0.2">
      <c r="D57" s="43"/>
      <c r="E57" s="43"/>
      <c r="F57" s="43"/>
    </row>
    <row r="58" spans="4:6" x14ac:dyDescent="0.2">
      <c r="D58" s="43"/>
      <c r="E58" s="43"/>
      <c r="F58" s="43"/>
    </row>
    <row r="59" spans="4:6" x14ac:dyDescent="0.2">
      <c r="D59" s="43"/>
      <c r="E59" s="43"/>
      <c r="F59" s="43"/>
    </row>
    <row r="60" spans="4:6" x14ac:dyDescent="0.2">
      <c r="D60" s="43"/>
      <c r="E60" s="43"/>
      <c r="F60" s="43"/>
    </row>
    <row r="61" spans="4:6" x14ac:dyDescent="0.2">
      <c r="D61" s="43"/>
      <c r="E61" s="43"/>
      <c r="F61" s="43"/>
    </row>
    <row r="62" spans="4:6" x14ac:dyDescent="0.2">
      <c r="D62" s="43"/>
      <c r="E62" s="43"/>
      <c r="F62" s="43"/>
    </row>
    <row r="63" spans="4:6" x14ac:dyDescent="0.2">
      <c r="D63" s="43"/>
      <c r="E63" s="43"/>
      <c r="F63" s="43"/>
    </row>
    <row r="64" spans="4:6" x14ac:dyDescent="0.2">
      <c r="D64" s="43"/>
      <c r="E64" s="43"/>
      <c r="F64" s="43"/>
    </row>
    <row r="65" spans="4:6" x14ac:dyDescent="0.2">
      <c r="E65" s="56" t="s">
        <v>58</v>
      </c>
      <c r="F65" s="44">
        <f>SUM(F55:F64)</f>
        <v>0</v>
      </c>
    </row>
    <row r="68" spans="4:6" x14ac:dyDescent="0.2">
      <c r="E68" s="48" t="s">
        <v>106</v>
      </c>
    </row>
    <row r="69" spans="4:6" x14ac:dyDescent="0.2">
      <c r="D69" s="44" t="s">
        <v>57</v>
      </c>
      <c r="E69" s="44" t="s">
        <v>105</v>
      </c>
      <c r="F69" s="44" t="s">
        <v>54</v>
      </c>
    </row>
    <row r="70" spans="4:6" x14ac:dyDescent="0.2">
      <c r="D70" s="43"/>
      <c r="E70" s="43" t="s">
        <v>185</v>
      </c>
      <c r="F70" s="43">
        <v>30</v>
      </c>
    </row>
    <row r="71" spans="4:6" x14ac:dyDescent="0.2">
      <c r="D71" s="43"/>
      <c r="F71" s="43"/>
    </row>
    <row r="72" spans="4:6" x14ac:dyDescent="0.2">
      <c r="D72" s="43"/>
      <c r="E72" s="43"/>
      <c r="F72" s="43"/>
    </row>
    <row r="73" spans="4:6" x14ac:dyDescent="0.2">
      <c r="D73" s="43"/>
      <c r="E73" s="43"/>
      <c r="F73" s="43"/>
    </row>
    <row r="74" spans="4:6" x14ac:dyDescent="0.2">
      <c r="D74" s="43"/>
      <c r="E74" s="43"/>
      <c r="F74" s="43"/>
    </row>
    <row r="75" spans="4:6" x14ac:dyDescent="0.2">
      <c r="D75" s="43"/>
      <c r="E75" s="43"/>
      <c r="F75" s="43"/>
    </row>
    <row r="76" spans="4:6" x14ac:dyDescent="0.2">
      <c r="D76" s="43"/>
      <c r="E76" s="43"/>
      <c r="F76" s="43"/>
    </row>
    <row r="77" spans="4:6" x14ac:dyDescent="0.2">
      <c r="D77" s="43"/>
      <c r="E77" s="43"/>
      <c r="F77" s="43"/>
    </row>
    <row r="78" spans="4:6" x14ac:dyDescent="0.2">
      <c r="D78" s="43"/>
      <c r="E78" s="43"/>
      <c r="F78" s="43"/>
    </row>
    <row r="79" spans="4:6" x14ac:dyDescent="0.2">
      <c r="D79" s="43"/>
      <c r="E79" s="43"/>
      <c r="F79" s="43"/>
    </row>
    <row r="80" spans="4:6" x14ac:dyDescent="0.2">
      <c r="E80" s="56" t="s">
        <v>58</v>
      </c>
      <c r="F80" s="44">
        <f>SUM(F70:F79)</f>
        <v>30</v>
      </c>
    </row>
  </sheetData>
  <sortState xmlns:xlrd2="http://schemas.microsoft.com/office/spreadsheetml/2017/richdata2" ref="H4:M28">
    <sortCondition ref="H4:H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Cpte résultat</vt:lpstr>
      <vt:lpstr>Charges</vt:lpstr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GUERNE</dc:creator>
  <cp:lastModifiedBy>Francois Auer</cp:lastModifiedBy>
  <dcterms:created xsi:type="dcterms:W3CDTF">2023-05-25T13:53:05Z</dcterms:created>
  <dcterms:modified xsi:type="dcterms:W3CDTF">2023-11-01T10:46:40Z</dcterms:modified>
</cp:coreProperties>
</file>