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ois/Desktop/"/>
    </mc:Choice>
  </mc:AlternateContent>
  <xr:revisionPtr revIDLastSave="0" documentId="8_{A566A9E3-14CC-A848-982C-438A8289FBFD}" xr6:coauthVersionLast="47" xr6:coauthVersionMax="47" xr10:uidLastSave="{00000000-0000-0000-0000-000000000000}"/>
  <bookViews>
    <workbookView xWindow="1280" yWindow="500" windowWidth="35840" windowHeight="21100" xr2:uid="{00000000-000D-0000-FFFF-FFFF00000000}"/>
  </bookViews>
  <sheets>
    <sheet name="Sondage d&amp;#039;opinion 0" sheetId="1" r:id="rId1"/>
    <sheet name="Commentaires" sheetId="2" r:id="rId2"/>
    <sheet name="Feuil1" sheetId="4" r:id="rId3"/>
    <sheet name="Worksheet 1" sheetId="3" r:id="rId4"/>
  </sheets>
  <definedNames>
    <definedName name="_xlnm._FilterDatabase" localSheetId="0" hidden="1">'Sondage d&amp;#039;opinion 0'!$A$6:$E$82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C105" i="1" s="1"/>
  <c r="D82" i="1"/>
  <c r="B82" i="1"/>
  <c r="B105" i="1" s="1"/>
  <c r="C108" i="1"/>
  <c r="B108" i="1"/>
  <c r="F105" i="1"/>
  <c r="B106" i="1" l="1"/>
  <c r="C106" i="1"/>
</calcChain>
</file>

<file path=xl/sharedStrings.xml><?xml version="1.0" encoding="utf-8"?>
<sst xmlns="http://schemas.openxmlformats.org/spreadsheetml/2006/main" count="1155" uniqueCount="159">
  <si>
    <t>Agapes et Tenue d'initiation du 20 Décembre 2023 - Abbaye</t>
  </si>
  <si>
    <t>Exceptionnellement à l'Abbaye des Prémontrès ( Salle du Cellier) https://maps.app.goo.gl/jrJzx4QozXqv8MQm6
Réception de 3 Impétrants  ( initiation) 
Présence du Conseiller de L'Ordre
Agapes limitées à 65 places et Tenue 80 places  
Demande d’information sur agapes@amisdesocrate.fr</t>
  </si>
  <si>
    <t>Tenue</t>
  </si>
  <si>
    <t>Agapes</t>
  </si>
  <si>
    <t>Rangement</t>
  </si>
  <si>
    <t xml:space="preserve">Jean Baptiste T </t>
  </si>
  <si>
    <t>Oui</t>
  </si>
  <si>
    <t>Michel P</t>
  </si>
  <si>
    <t xml:space="preserve">François Regis </t>
  </si>
  <si>
    <t>Christophe b</t>
  </si>
  <si>
    <t>Dominique g</t>
  </si>
  <si>
    <t>Muriel S</t>
  </si>
  <si>
    <t>Non</t>
  </si>
  <si>
    <t>Synthia S</t>
  </si>
  <si>
    <t>Valérie Susset</t>
  </si>
  <si>
    <t>Claire Paris</t>
  </si>
  <si>
    <t>Pierre B  Conseiller de l’ordr</t>
  </si>
  <si>
    <t>Jean Luc DUBOIS</t>
  </si>
  <si>
    <t>JPDV</t>
  </si>
  <si>
    <t>Claire CORNELISE</t>
  </si>
  <si>
    <t xml:space="preserve">Thomas Klein </t>
  </si>
  <si>
    <t xml:space="preserve">Margot Mouchard Héliopolis </t>
  </si>
  <si>
    <t xml:space="preserve">Jean Claude Périsset </t>
  </si>
  <si>
    <t>Sophie U</t>
  </si>
  <si>
    <t xml:space="preserve">Christophe EPP </t>
  </si>
  <si>
    <t xml:space="preserve">Céline Bonneau </t>
  </si>
  <si>
    <t>Anne Sophie M*</t>
  </si>
  <si>
    <t xml:space="preserve">Thierry MATHIEU </t>
  </si>
  <si>
    <t>Laurent Naviliat</t>
  </si>
  <si>
    <t xml:space="preserve">Alain D. / Vitruve </t>
  </si>
  <si>
    <t>Nathalie A. / STOA</t>
  </si>
  <si>
    <t>Fabrice C</t>
  </si>
  <si>
    <t xml:space="preserve">Marc Masson </t>
  </si>
  <si>
    <t>Fabrice Riom</t>
  </si>
  <si>
    <t xml:space="preserve">Laurent CHRETIEN </t>
  </si>
  <si>
    <t>Patrice OUALI KISSLER</t>
  </si>
  <si>
    <t>Cédric L</t>
  </si>
  <si>
    <t>Florence CLERC</t>
  </si>
  <si>
    <t>Le conjoint  Romain B SAEDAR</t>
  </si>
  <si>
    <t>François Crubellier</t>
  </si>
  <si>
    <t>Michèle Crubellier</t>
  </si>
  <si>
    <t>Tristan D</t>
  </si>
  <si>
    <t xml:space="preserve">Jean Marc BB </t>
  </si>
  <si>
    <t xml:space="preserve">Nicolas D∴ </t>
  </si>
  <si>
    <t>Ariane T</t>
  </si>
  <si>
    <t>Jclaude P</t>
  </si>
  <si>
    <t xml:space="preserve">Jean M M </t>
  </si>
  <si>
    <t>Jo St antoine</t>
  </si>
  <si>
    <t>DomT SAEDAR</t>
  </si>
  <si>
    <t>Stéphan B. SAEDAR</t>
  </si>
  <si>
    <t>EINIUS.J</t>
  </si>
  <si>
    <t>Clément LOOS SAEDAR</t>
  </si>
  <si>
    <t>Pascal  P.  SAEDAR</t>
  </si>
  <si>
    <t>Nicolas k:. Sardar</t>
  </si>
  <si>
    <t>Paul DUFOUR, SAEDAR</t>
  </si>
  <si>
    <t>Philippe Ogé</t>
  </si>
  <si>
    <t>Gregory R</t>
  </si>
  <si>
    <t>Perrier vincent</t>
  </si>
  <si>
    <t>Alain FAIVRE</t>
  </si>
  <si>
    <t>Patrick BUR</t>
  </si>
  <si>
    <t>Christian LUZERNE</t>
  </si>
  <si>
    <t xml:space="preserve">Dominique Rolin </t>
  </si>
  <si>
    <t>Marjorie Mathieu</t>
  </si>
  <si>
    <t>Nataly Badie</t>
  </si>
  <si>
    <t xml:space="preserve">Muriel Bel Hadj </t>
  </si>
  <si>
    <t>CAHEN  François SAEDAR</t>
  </si>
  <si>
    <t xml:space="preserve">Cortina  Hervé </t>
  </si>
  <si>
    <t xml:space="preserve">Schaff Virginie </t>
  </si>
  <si>
    <t>Roselyne Dimanchin</t>
  </si>
  <si>
    <t>Martine C</t>
  </si>
  <si>
    <t>Raphaël JUNGER</t>
  </si>
  <si>
    <t>Vincent Gardette</t>
  </si>
  <si>
    <t>Véronique NEU</t>
  </si>
  <si>
    <t xml:space="preserve">Hubert G. </t>
  </si>
  <si>
    <t>Gilles Thépot</t>
  </si>
  <si>
    <t>Claude Hamm</t>
  </si>
  <si>
    <t xml:space="preserve">Aude Saint-Gratien </t>
  </si>
  <si>
    <t xml:space="preserve">Vanessa Bonabal </t>
  </si>
  <si>
    <t xml:space="preserve">Matthieu Mulot </t>
  </si>
  <si>
    <t>Christine HUBERT</t>
  </si>
  <si>
    <t xml:space="preserve">Jacques HUBERT </t>
  </si>
  <si>
    <t xml:space="preserve">Thierry Detouche </t>
  </si>
  <si>
    <t>Commentaires</t>
  </si>
  <si>
    <t>Nom</t>
  </si>
  <si>
    <t>Date</t>
  </si>
  <si>
    <t>claire cha</t>
  </si>
  <si>
    <t>2023-10-30 08:39:05</t>
  </si>
  <si>
    <t>Mes TTCCFF et SS,
Je vous prie de bien vouloir m'excuser pour cette absence pour des raisons personnelles et professionnelles.</t>
  </si>
  <si>
    <t>Alain Senette</t>
  </si>
  <si>
    <t>Marie Senette</t>
  </si>
  <si>
    <t>Amour et Liberté</t>
  </si>
  <si>
    <t>Pascal JEAN</t>
  </si>
  <si>
    <t>?</t>
  </si>
  <si>
    <t>Stoa  à confirmer</t>
  </si>
  <si>
    <t>VM Edmont ABOUT</t>
  </si>
  <si>
    <t>OUi</t>
  </si>
  <si>
    <t>Edmont About</t>
  </si>
  <si>
    <t>Michel Dillenschneider</t>
  </si>
  <si>
    <t>OUI</t>
  </si>
  <si>
    <t>Gilles DARDENNE</t>
  </si>
  <si>
    <t>Alain Cadona</t>
  </si>
  <si>
    <t>Alphonse AGNOUNA</t>
  </si>
  <si>
    <t>Aurelie Menestrier</t>
  </si>
  <si>
    <t>Cedric Menestrier</t>
  </si>
  <si>
    <t>Socrate</t>
  </si>
  <si>
    <t>Le Travail</t>
  </si>
  <si>
    <t>Jean Louis Piechnik</t>
  </si>
  <si>
    <t>Marie Pierre Piechnik</t>
  </si>
  <si>
    <t>MVH</t>
  </si>
  <si>
    <t>Arche d'alliance</t>
  </si>
  <si>
    <t>Isabelle COLNOT</t>
  </si>
  <si>
    <t>Les enfants de la Double Union</t>
  </si>
  <si>
    <t>STOA</t>
  </si>
  <si>
    <t>SIRIUS ET VEGA</t>
  </si>
  <si>
    <t>Heliopolis</t>
  </si>
  <si>
    <t>CAIRN ET l'ACACIA</t>
  </si>
  <si>
    <t>Ensemble</t>
  </si>
  <si>
    <t>l'arbre et la Pierre</t>
  </si>
  <si>
    <t>St Antoine et des Amis Réunis</t>
  </si>
  <si>
    <t>VITRUVE</t>
  </si>
  <si>
    <t>St Jean de Jerusalem</t>
  </si>
  <si>
    <t>GLFF Nancy</t>
  </si>
  <si>
    <t>Mediation</t>
  </si>
  <si>
    <t>Agora</t>
  </si>
  <si>
    <t>VM</t>
  </si>
  <si>
    <t>Conseiller de l'ordre</t>
  </si>
  <si>
    <t>total</t>
  </si>
  <si>
    <t xml:space="preserve">nb de VM + conseiller </t>
  </si>
  <si>
    <t>Jean Philippe Stasiak</t>
  </si>
  <si>
    <t>St antoine et des Amis réunis</t>
  </si>
  <si>
    <t>Isabelle Rausch ?</t>
  </si>
  <si>
    <t>la republique à l'ecole de la fraternité</t>
  </si>
  <si>
    <t>St Jean au Temple de la Paix</t>
  </si>
  <si>
    <t>Frederic SARROCHE</t>
  </si>
  <si>
    <t>Fred BOMBARDI</t>
  </si>
  <si>
    <t>Michel GROPETTI</t>
  </si>
  <si>
    <t>Yann ARTHUR</t>
  </si>
  <si>
    <t>Jean Marie BURGAIN</t>
  </si>
  <si>
    <t>Noble AMITIE</t>
  </si>
  <si>
    <t>total + attente</t>
  </si>
  <si>
    <t xml:space="preserve">Radu Bostan </t>
  </si>
  <si>
    <t>Flamme de Zoroastre</t>
  </si>
  <si>
    <t>non</t>
  </si>
  <si>
    <t>Agora DH</t>
  </si>
  <si>
    <t>resa hors xoyondo</t>
  </si>
  <si>
    <t>option</t>
  </si>
  <si>
    <t>xoyondo</t>
  </si>
  <si>
    <t>Loge</t>
  </si>
  <si>
    <t>Type inscription</t>
  </si>
  <si>
    <t>Total général</t>
  </si>
  <si>
    <t>Étiquettes de lignes</t>
  </si>
  <si>
    <t>(Tous)</t>
  </si>
  <si>
    <t>non connu</t>
  </si>
  <si>
    <t>(Plusieurs éléments)</t>
  </si>
  <si>
    <t>Nombre de Loge</t>
  </si>
  <si>
    <t>Alain Marchal</t>
  </si>
  <si>
    <t>NON</t>
  </si>
  <si>
    <t>AGORA DH</t>
  </si>
  <si>
    <t>Attente à confirmer le 4/12 --&gt; confirmé le 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</si>
</sst>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5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E4E4E4"/>
      </patternFill>
    </fill>
    <fill>
      <patternFill patternType="solid">
        <fgColor rgb="FF90E569"/>
        <bgColor rgb="FF90E569"/>
      </patternFill>
    </fill>
    <fill>
      <patternFill patternType="solid">
        <fgColor rgb="FFEA7575"/>
        <bgColor rgb="FFEA757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/>
    <xf numFmtId="0" fontId="0" fillId="2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5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pivotButton="1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pivotButton="1" applyBorder="1"/>
    <xf numFmtId="0" fontId="3" fillId="3" borderId="3" xfId="0" applyFont="1" applyFill="1" applyBorder="1" applyAlignment="1">
      <alignment horizontal="center"/>
    </xf>
    <xf numFmtId="0" fontId="0" fillId="0" borderId="10" xfId="0" applyBorder="1"/>
    <xf numFmtId="0" fontId="0" fillId="0" borderId="6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is Auer" refreshedDate="45262.454809374998" createdVersion="8" refreshedVersion="8" minRefreshableVersion="3" recordCount="96" xr:uid="{985321BC-1A70-4C41-B3FB-424EF34B8D38}">
  <cacheSource type="worksheet">
    <worksheetSource ref="B1:F97" sheet="Worksheet 1"/>
  </cacheSource>
  <cacheFields count="5">
    <cacheField name="Tenue" numFmtId="0">
      <sharedItems count="3">
        <s v="Oui"/>
        <s v="Non"/>
        <s v="?"/>
      </sharedItems>
    </cacheField>
    <cacheField name="Agapes" numFmtId="0">
      <sharedItems count="3">
        <s v="Oui"/>
        <s v="Non"/>
        <s v="?"/>
      </sharedItems>
    </cacheField>
    <cacheField name="Rangement" numFmtId="0">
      <sharedItems count="2">
        <s v="Oui"/>
        <s v="Non"/>
      </sharedItems>
    </cacheField>
    <cacheField name="Loge" numFmtId="0">
      <sharedItems containsBlank="1" count="29">
        <s v="Socrate"/>
        <s v="STOA"/>
        <s v="SIRIUS ET VEGA"/>
        <s v="St Jean au Temple de la Paix"/>
        <s v="Heliopolis"/>
        <s v="CAIRN ET l'ACACIA"/>
        <s v="Le Travail"/>
        <s v="Ensemble"/>
        <s v="l'arbre et la Pierre"/>
        <s v="St Antoine et des Amis Réunis"/>
        <s v="VITRUVE"/>
        <s v="St Jean de Jerusalem"/>
        <s v="GLFF Nancy"/>
        <s v="Mediation"/>
        <s v="AGORA DH"/>
        <s v="non connu"/>
        <s v="Amour et Liberté"/>
        <s v="Les enfants de la Double Union"/>
        <s v="Edmont About"/>
        <s v="MVH"/>
        <s v="Arche d'alliance"/>
        <s v="la republique à l'ecole de la fraternité"/>
        <s v="Noble AMITIE"/>
        <s v="Flamme de Zoroastre"/>
        <s v="Agora" u="1"/>
        <s v="Enfants de la double Union" u="1"/>
        <m u="1"/>
        <s v="Stoa  à confirmer" u="1"/>
        <s v="St Antoine et des Amis Reunis" u="1"/>
      </sharedItems>
    </cacheField>
    <cacheField name="Type inscription" numFmtId="0">
      <sharedItems count="3">
        <s v="xoyondo"/>
        <s v="resa hors xoyondo"/>
        <s v="op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1"/>
    <x v="1"/>
    <x v="0"/>
  </r>
  <r>
    <x v="0"/>
    <x v="0"/>
    <x v="1"/>
    <x v="1"/>
    <x v="0"/>
  </r>
  <r>
    <x v="0"/>
    <x v="0"/>
    <x v="0"/>
    <x v="0"/>
    <x v="0"/>
  </r>
  <r>
    <x v="0"/>
    <x v="0"/>
    <x v="0"/>
    <x v="2"/>
    <x v="0"/>
  </r>
  <r>
    <x v="0"/>
    <x v="0"/>
    <x v="1"/>
    <x v="3"/>
    <x v="0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1"/>
    <x v="4"/>
    <x v="0"/>
  </r>
  <r>
    <x v="0"/>
    <x v="0"/>
    <x v="1"/>
    <x v="5"/>
    <x v="0"/>
  </r>
  <r>
    <x v="0"/>
    <x v="0"/>
    <x v="1"/>
    <x v="6"/>
    <x v="0"/>
  </r>
  <r>
    <x v="0"/>
    <x v="0"/>
    <x v="1"/>
    <x v="7"/>
    <x v="0"/>
  </r>
  <r>
    <x v="0"/>
    <x v="0"/>
    <x v="1"/>
    <x v="8"/>
    <x v="0"/>
  </r>
  <r>
    <x v="0"/>
    <x v="0"/>
    <x v="0"/>
    <x v="0"/>
    <x v="0"/>
  </r>
  <r>
    <x v="0"/>
    <x v="1"/>
    <x v="1"/>
    <x v="9"/>
    <x v="0"/>
  </r>
  <r>
    <x v="0"/>
    <x v="0"/>
    <x v="0"/>
    <x v="6"/>
    <x v="0"/>
  </r>
  <r>
    <x v="0"/>
    <x v="0"/>
    <x v="0"/>
    <x v="10"/>
    <x v="0"/>
  </r>
  <r>
    <x v="0"/>
    <x v="0"/>
    <x v="0"/>
    <x v="1"/>
    <x v="0"/>
  </r>
  <r>
    <x v="0"/>
    <x v="0"/>
    <x v="1"/>
    <x v="8"/>
    <x v="0"/>
  </r>
  <r>
    <x v="0"/>
    <x v="0"/>
    <x v="1"/>
    <x v="3"/>
    <x v="0"/>
  </r>
  <r>
    <x v="0"/>
    <x v="0"/>
    <x v="1"/>
    <x v="3"/>
    <x v="0"/>
  </r>
  <r>
    <x v="0"/>
    <x v="0"/>
    <x v="1"/>
    <x v="3"/>
    <x v="0"/>
  </r>
  <r>
    <x v="0"/>
    <x v="0"/>
    <x v="1"/>
    <x v="3"/>
    <x v="0"/>
  </r>
  <r>
    <x v="0"/>
    <x v="0"/>
    <x v="1"/>
    <x v="0"/>
    <x v="0"/>
  </r>
  <r>
    <x v="0"/>
    <x v="0"/>
    <x v="1"/>
    <x v="6"/>
    <x v="0"/>
  </r>
  <r>
    <x v="0"/>
    <x v="0"/>
    <x v="0"/>
    <x v="9"/>
    <x v="0"/>
  </r>
  <r>
    <x v="0"/>
    <x v="0"/>
    <x v="1"/>
    <x v="11"/>
    <x v="0"/>
  </r>
  <r>
    <x v="0"/>
    <x v="0"/>
    <x v="1"/>
    <x v="11"/>
    <x v="0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0"/>
    <x v="0"/>
    <x v="0"/>
  </r>
  <r>
    <x v="0"/>
    <x v="0"/>
    <x v="1"/>
    <x v="9"/>
    <x v="0"/>
  </r>
  <r>
    <x v="0"/>
    <x v="0"/>
    <x v="1"/>
    <x v="9"/>
    <x v="0"/>
  </r>
  <r>
    <x v="0"/>
    <x v="0"/>
    <x v="0"/>
    <x v="9"/>
    <x v="0"/>
  </r>
  <r>
    <x v="0"/>
    <x v="1"/>
    <x v="1"/>
    <x v="9"/>
    <x v="0"/>
  </r>
  <r>
    <x v="0"/>
    <x v="0"/>
    <x v="0"/>
    <x v="9"/>
    <x v="0"/>
  </r>
  <r>
    <x v="0"/>
    <x v="0"/>
    <x v="0"/>
    <x v="9"/>
    <x v="0"/>
  </r>
  <r>
    <x v="0"/>
    <x v="1"/>
    <x v="1"/>
    <x v="9"/>
    <x v="0"/>
  </r>
  <r>
    <x v="0"/>
    <x v="0"/>
    <x v="0"/>
    <x v="9"/>
    <x v="0"/>
  </r>
  <r>
    <x v="0"/>
    <x v="0"/>
    <x v="1"/>
    <x v="9"/>
    <x v="0"/>
  </r>
  <r>
    <x v="0"/>
    <x v="1"/>
    <x v="1"/>
    <x v="9"/>
    <x v="0"/>
  </r>
  <r>
    <x v="0"/>
    <x v="0"/>
    <x v="0"/>
    <x v="0"/>
    <x v="0"/>
  </r>
  <r>
    <x v="0"/>
    <x v="0"/>
    <x v="0"/>
    <x v="9"/>
    <x v="0"/>
  </r>
  <r>
    <x v="0"/>
    <x v="0"/>
    <x v="0"/>
    <x v="0"/>
    <x v="0"/>
  </r>
  <r>
    <x v="0"/>
    <x v="0"/>
    <x v="1"/>
    <x v="0"/>
    <x v="0"/>
  </r>
  <r>
    <x v="1"/>
    <x v="1"/>
    <x v="1"/>
    <x v="0"/>
    <x v="0"/>
  </r>
  <r>
    <x v="0"/>
    <x v="1"/>
    <x v="1"/>
    <x v="8"/>
    <x v="0"/>
  </r>
  <r>
    <x v="0"/>
    <x v="0"/>
    <x v="1"/>
    <x v="12"/>
    <x v="0"/>
  </r>
  <r>
    <x v="0"/>
    <x v="0"/>
    <x v="0"/>
    <x v="8"/>
    <x v="0"/>
  </r>
  <r>
    <x v="0"/>
    <x v="0"/>
    <x v="1"/>
    <x v="3"/>
    <x v="0"/>
  </r>
  <r>
    <x v="0"/>
    <x v="0"/>
    <x v="1"/>
    <x v="9"/>
    <x v="0"/>
  </r>
  <r>
    <x v="0"/>
    <x v="0"/>
    <x v="1"/>
    <x v="9"/>
    <x v="0"/>
  </r>
  <r>
    <x v="0"/>
    <x v="0"/>
    <x v="1"/>
    <x v="2"/>
    <x v="0"/>
  </r>
  <r>
    <x v="0"/>
    <x v="0"/>
    <x v="1"/>
    <x v="13"/>
    <x v="0"/>
  </r>
  <r>
    <x v="0"/>
    <x v="0"/>
    <x v="1"/>
    <x v="14"/>
    <x v="0"/>
  </r>
  <r>
    <x v="0"/>
    <x v="0"/>
    <x v="1"/>
    <x v="3"/>
    <x v="0"/>
  </r>
  <r>
    <x v="0"/>
    <x v="0"/>
    <x v="1"/>
    <x v="3"/>
    <x v="0"/>
  </r>
  <r>
    <x v="0"/>
    <x v="0"/>
    <x v="1"/>
    <x v="14"/>
    <x v="0"/>
  </r>
  <r>
    <x v="0"/>
    <x v="1"/>
    <x v="1"/>
    <x v="3"/>
    <x v="0"/>
  </r>
  <r>
    <x v="0"/>
    <x v="0"/>
    <x v="1"/>
    <x v="14"/>
    <x v="0"/>
  </r>
  <r>
    <x v="0"/>
    <x v="0"/>
    <x v="1"/>
    <x v="14"/>
    <x v="0"/>
  </r>
  <r>
    <x v="0"/>
    <x v="0"/>
    <x v="1"/>
    <x v="15"/>
    <x v="0"/>
  </r>
  <r>
    <x v="0"/>
    <x v="0"/>
    <x v="1"/>
    <x v="14"/>
    <x v="0"/>
  </r>
  <r>
    <x v="0"/>
    <x v="0"/>
    <x v="1"/>
    <x v="5"/>
    <x v="0"/>
  </r>
  <r>
    <x v="0"/>
    <x v="0"/>
    <x v="1"/>
    <x v="2"/>
    <x v="0"/>
  </r>
  <r>
    <x v="0"/>
    <x v="0"/>
    <x v="1"/>
    <x v="5"/>
    <x v="0"/>
  </r>
  <r>
    <x v="0"/>
    <x v="0"/>
    <x v="1"/>
    <x v="9"/>
    <x v="0"/>
  </r>
  <r>
    <x v="0"/>
    <x v="0"/>
    <x v="1"/>
    <x v="16"/>
    <x v="1"/>
  </r>
  <r>
    <x v="0"/>
    <x v="0"/>
    <x v="1"/>
    <x v="17"/>
    <x v="1"/>
  </r>
  <r>
    <x v="2"/>
    <x v="2"/>
    <x v="1"/>
    <x v="1"/>
    <x v="1"/>
  </r>
  <r>
    <x v="0"/>
    <x v="0"/>
    <x v="1"/>
    <x v="18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0"/>
    <x v="1"/>
  </r>
  <r>
    <x v="0"/>
    <x v="0"/>
    <x v="1"/>
    <x v="6"/>
    <x v="1"/>
  </r>
  <r>
    <x v="0"/>
    <x v="0"/>
    <x v="1"/>
    <x v="6"/>
    <x v="1"/>
  </r>
  <r>
    <x v="0"/>
    <x v="2"/>
    <x v="1"/>
    <x v="19"/>
    <x v="1"/>
  </r>
  <r>
    <x v="0"/>
    <x v="2"/>
    <x v="1"/>
    <x v="20"/>
    <x v="1"/>
  </r>
  <r>
    <x v="0"/>
    <x v="0"/>
    <x v="1"/>
    <x v="17"/>
    <x v="1"/>
  </r>
  <r>
    <x v="0"/>
    <x v="0"/>
    <x v="1"/>
    <x v="9"/>
    <x v="1"/>
  </r>
  <r>
    <x v="2"/>
    <x v="2"/>
    <x v="1"/>
    <x v="21"/>
    <x v="1"/>
  </r>
  <r>
    <x v="0"/>
    <x v="0"/>
    <x v="1"/>
    <x v="9"/>
    <x v="2"/>
  </r>
  <r>
    <x v="0"/>
    <x v="0"/>
    <x v="1"/>
    <x v="22"/>
    <x v="2"/>
  </r>
  <r>
    <x v="0"/>
    <x v="0"/>
    <x v="1"/>
    <x v="22"/>
    <x v="2"/>
  </r>
  <r>
    <x v="0"/>
    <x v="0"/>
    <x v="1"/>
    <x v="22"/>
    <x v="2"/>
  </r>
  <r>
    <x v="0"/>
    <x v="0"/>
    <x v="1"/>
    <x v="22"/>
    <x v="2"/>
  </r>
  <r>
    <x v="0"/>
    <x v="1"/>
    <x v="1"/>
    <x v="2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7948B-FEFB-8348-9BE0-1521A50554F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6:B32" firstHeaderRow="1" firstDataRow="1" firstDataCol="1" rowPageCount="3" colPageCount="1"/>
  <pivotFields count="5">
    <pivotField axis="axisRow" multipleItemSelectionAllowed="1" showAll="0">
      <items count="4">
        <item h="1" x="2"/>
        <item sd="0" x="1"/>
        <item x="0"/>
        <item t="default"/>
      </items>
    </pivotField>
    <pivotField axis="axisPage" multipleItemSelectionAllowed="1" countASubtotal="1">
      <items count="4">
        <item x="2"/>
        <item x="1"/>
        <item x="0"/>
        <item t="countA"/>
      </items>
    </pivotField>
    <pivotField axis="axisPage" showAll="0">
      <items count="3">
        <item x="1"/>
        <item x="0"/>
        <item t="default"/>
      </items>
    </pivotField>
    <pivotField axis="axisRow" dataField="1" showAll="0">
      <items count="30">
        <item m="1" x="24"/>
        <item x="16"/>
        <item x="20"/>
        <item x="5"/>
        <item x="18"/>
        <item m="1" x="25"/>
        <item x="7"/>
        <item x="23"/>
        <item x="12"/>
        <item x="4"/>
        <item x="8"/>
        <item x="21"/>
        <item x="6"/>
        <item x="17"/>
        <item x="13"/>
        <item x="19"/>
        <item x="22"/>
        <item x="2"/>
        <item x="0"/>
        <item m="1" x="28"/>
        <item x="9"/>
        <item x="3"/>
        <item x="11"/>
        <item x="1"/>
        <item m="1" x="27"/>
        <item x="10"/>
        <item m="1" x="26"/>
        <item x="15"/>
        <item x="14"/>
        <item t="default"/>
      </items>
    </pivotField>
    <pivotField axis="axisPage" showAll="0">
      <items count="4">
        <item x="2"/>
        <item x="1"/>
        <item x="0"/>
        <item t="default"/>
      </items>
    </pivotField>
  </pivotFields>
  <rowFields count="2">
    <field x="0"/>
    <field x="3"/>
  </rowFields>
  <rowItems count="26">
    <i>
      <x v="1"/>
    </i>
    <i>
      <x v="2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5"/>
    </i>
    <i r="1">
      <x v="27"/>
    </i>
    <i r="1">
      <x v="28"/>
    </i>
    <i t="grand">
      <x/>
    </i>
  </rowItems>
  <colItems count="1">
    <i/>
  </colItems>
  <pageFields count="3">
    <pageField fld="2" hier="-1"/>
    <pageField fld="4" hier="-1"/>
    <pageField fld="1" hier="-1"/>
  </pageFields>
  <dataFields count="1">
    <dataField name="Nombre de Loge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01DD4-8609-D24B-BFF4-7547861CB18F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7:I31" firstHeaderRow="1" firstDataRow="1" firstDataCol="1" rowPageCount="3" colPageCount="1"/>
  <pivotFields count="5">
    <pivotField axis="axisPage" multipleItemSelectionAllowed="1" showAll="0">
      <items count="4">
        <item h="1" x="2"/>
        <item sd="0" x="1"/>
        <item x="0"/>
        <item t="default"/>
      </items>
    </pivotField>
    <pivotField axis="axisRow" multipleItemSelectionAllowed="1" countASubtotal="1">
      <items count="4">
        <item sd="0" x="2"/>
        <item sd="0" x="1"/>
        <item x="0"/>
        <item t="countA"/>
      </items>
    </pivotField>
    <pivotField axis="axisPage" showAll="0">
      <items count="3">
        <item x="1"/>
        <item x="0"/>
        <item t="default"/>
      </items>
    </pivotField>
    <pivotField axis="axisRow" dataField="1" showAll="0">
      <items count="30">
        <item m="1" x="24"/>
        <item x="16"/>
        <item x="20"/>
        <item x="5"/>
        <item x="18"/>
        <item m="1" x="25"/>
        <item x="7"/>
        <item x="23"/>
        <item x="12"/>
        <item x="4"/>
        <item x="8"/>
        <item x="21"/>
        <item x="6"/>
        <item x="17"/>
        <item x="13"/>
        <item x="19"/>
        <item x="22"/>
        <item x="2"/>
        <item x="0"/>
        <item m="1" x="28"/>
        <item x="9"/>
        <item x="3"/>
        <item x="11"/>
        <item x="1"/>
        <item m="1" x="27"/>
        <item x="10"/>
        <item m="1" x="26"/>
        <item x="15"/>
        <item x="14"/>
        <item t="default"/>
      </items>
    </pivotField>
    <pivotField axis="axisPage" showAll="0">
      <items count="4">
        <item x="2"/>
        <item x="1"/>
        <item x="0"/>
        <item t="default"/>
      </items>
    </pivotField>
  </pivotFields>
  <rowFields count="2">
    <field x="1"/>
    <field x="3"/>
  </rowFields>
  <rowItems count="24">
    <i>
      <x/>
    </i>
    <i>
      <x v="1"/>
    </i>
    <i>
      <x v="2"/>
    </i>
    <i r="1">
      <x v="1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5"/>
    </i>
    <i r="1">
      <x v="27"/>
    </i>
    <i r="1">
      <x v="28"/>
    </i>
    <i t="grand">
      <x/>
    </i>
  </rowItems>
  <colItems count="1">
    <i/>
  </colItems>
  <pageFields count="3">
    <pageField fld="2" hier="-1"/>
    <pageField fld="4" hier="-1"/>
    <pageField fld="0" hier="-1"/>
  </pageFields>
  <dataFields count="1">
    <dataField name="Nombre de Loge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6"/>
  <sheetViews>
    <sheetView tabSelected="1" zoomScale="150" workbookViewId="0">
      <selection activeCell="B104" sqref="B104"/>
    </sheetView>
  </sheetViews>
  <sheetFormatPr baseColWidth="10" defaultColWidth="8.83203125" defaultRowHeight="15" x14ac:dyDescent="0.2"/>
  <cols>
    <col min="1" max="1" width="24.33203125" customWidth="1"/>
    <col min="2" max="3" width="20" customWidth="1"/>
    <col min="4" max="4" width="21.83203125" customWidth="1"/>
    <col min="5" max="5" width="25.33203125" bestFit="1" customWidth="1"/>
    <col min="6" max="6" width="16.33203125" bestFit="1" customWidth="1"/>
  </cols>
  <sheetData>
    <row r="2" spans="1:6" ht="20" x14ac:dyDescent="0.25">
      <c r="A2" s="1" t="s">
        <v>0</v>
      </c>
    </row>
    <row r="4" spans="1:6" x14ac:dyDescent="0.2">
      <c r="A4" t="s">
        <v>1</v>
      </c>
    </row>
    <row r="6" spans="1:6" ht="23" customHeight="1" x14ac:dyDescent="0.2">
      <c r="B6" s="3" t="s">
        <v>2</v>
      </c>
      <c r="C6" s="3" t="s">
        <v>3</v>
      </c>
      <c r="D6" s="3" t="s">
        <v>4</v>
      </c>
    </row>
    <row r="7" spans="1:6" x14ac:dyDescent="0.2">
      <c r="A7" s="2" t="s">
        <v>5</v>
      </c>
      <c r="B7" s="4" t="s">
        <v>6</v>
      </c>
      <c r="C7" s="4" t="s">
        <v>6</v>
      </c>
      <c r="D7" s="4" t="s">
        <v>6</v>
      </c>
      <c r="E7" s="14" t="s">
        <v>104</v>
      </c>
    </row>
    <row r="8" spans="1:6" x14ac:dyDescent="0.2">
      <c r="A8" s="2" t="s">
        <v>7</v>
      </c>
      <c r="B8" s="4" t="s">
        <v>6</v>
      </c>
      <c r="C8" s="4" t="s">
        <v>6</v>
      </c>
      <c r="D8" s="4" t="s">
        <v>6</v>
      </c>
      <c r="E8" s="14" t="s">
        <v>104</v>
      </c>
    </row>
    <row r="9" spans="1:6" x14ac:dyDescent="0.2">
      <c r="A9" s="2" t="s">
        <v>8</v>
      </c>
      <c r="B9" s="4" t="s">
        <v>6</v>
      </c>
      <c r="C9" s="4" t="s">
        <v>6</v>
      </c>
      <c r="D9" s="4" t="s">
        <v>6</v>
      </c>
      <c r="E9" s="14" t="s">
        <v>104</v>
      </c>
    </row>
    <row r="10" spans="1:6" x14ac:dyDescent="0.2">
      <c r="A10" s="2" t="s">
        <v>9</v>
      </c>
      <c r="B10" s="4" t="s">
        <v>6</v>
      </c>
      <c r="C10" s="4" t="s">
        <v>6</v>
      </c>
      <c r="D10" s="4" t="s">
        <v>6</v>
      </c>
      <c r="E10" s="12" t="s">
        <v>104</v>
      </c>
    </row>
    <row r="11" spans="1:6" x14ac:dyDescent="0.2">
      <c r="A11" s="2" t="s">
        <v>10</v>
      </c>
      <c r="B11" s="4" t="s">
        <v>6</v>
      </c>
      <c r="C11" s="4" t="s">
        <v>6</v>
      </c>
      <c r="D11" s="4" t="s">
        <v>6</v>
      </c>
      <c r="E11" s="12" t="s">
        <v>104</v>
      </c>
    </row>
    <row r="12" spans="1:6" x14ac:dyDescent="0.2">
      <c r="A12" s="2" t="s">
        <v>11</v>
      </c>
      <c r="B12" s="4" t="s">
        <v>6</v>
      </c>
      <c r="C12" s="4" t="s">
        <v>6</v>
      </c>
      <c r="D12" s="5" t="s">
        <v>12</v>
      </c>
      <c r="E12" s="12" t="s">
        <v>112</v>
      </c>
    </row>
    <row r="13" spans="1:6" x14ac:dyDescent="0.2">
      <c r="A13" s="2" t="s">
        <v>13</v>
      </c>
      <c r="B13" s="4" t="s">
        <v>6</v>
      </c>
      <c r="C13" s="4" t="s">
        <v>6</v>
      </c>
      <c r="D13" s="5" t="s">
        <v>12</v>
      </c>
      <c r="E13" s="12" t="s">
        <v>112</v>
      </c>
    </row>
    <row r="14" spans="1:6" x14ac:dyDescent="0.2">
      <c r="A14" s="2" t="s">
        <v>14</v>
      </c>
      <c r="B14" s="4" t="s">
        <v>6</v>
      </c>
      <c r="C14" s="4" t="s">
        <v>6</v>
      </c>
      <c r="D14" s="4" t="s">
        <v>6</v>
      </c>
      <c r="E14" s="12" t="s">
        <v>104</v>
      </c>
    </row>
    <row r="15" spans="1:6" x14ac:dyDescent="0.2">
      <c r="A15" s="2" t="s">
        <v>15</v>
      </c>
      <c r="B15" s="4" t="s">
        <v>6</v>
      </c>
      <c r="C15" s="4" t="s">
        <v>6</v>
      </c>
      <c r="D15" s="4" t="s">
        <v>6</v>
      </c>
      <c r="E15" s="12" t="s">
        <v>113</v>
      </c>
    </row>
    <row r="16" spans="1:6" x14ac:dyDescent="0.2">
      <c r="A16" s="2" t="s">
        <v>16</v>
      </c>
      <c r="B16" s="4" t="s">
        <v>6</v>
      </c>
      <c r="C16" s="4" t="s">
        <v>6</v>
      </c>
      <c r="D16" s="5" t="s">
        <v>12</v>
      </c>
      <c r="E16" s="10" t="s">
        <v>132</v>
      </c>
      <c r="F16" s="10" t="s">
        <v>125</v>
      </c>
    </row>
    <row r="17" spans="1:6" x14ac:dyDescent="0.2">
      <c r="A17" s="2" t="s">
        <v>17</v>
      </c>
      <c r="B17" s="4" t="s">
        <v>6</v>
      </c>
      <c r="C17" s="4" t="s">
        <v>6</v>
      </c>
      <c r="D17" s="4" t="s">
        <v>6</v>
      </c>
      <c r="E17" s="12" t="s">
        <v>104</v>
      </c>
    </row>
    <row r="18" spans="1:6" x14ac:dyDescent="0.2">
      <c r="A18" s="2" t="s">
        <v>18</v>
      </c>
      <c r="B18" s="4" t="s">
        <v>6</v>
      </c>
      <c r="C18" s="4" t="s">
        <v>6</v>
      </c>
      <c r="D18" s="4" t="s">
        <v>6</v>
      </c>
      <c r="E18" s="12" t="s">
        <v>104</v>
      </c>
    </row>
    <row r="19" spans="1:6" x14ac:dyDescent="0.2">
      <c r="A19" s="2" t="s">
        <v>19</v>
      </c>
      <c r="B19" s="4" t="s">
        <v>6</v>
      </c>
      <c r="C19" s="4" t="s">
        <v>6</v>
      </c>
      <c r="D19" s="4" t="s">
        <v>6</v>
      </c>
      <c r="E19" s="12" t="s">
        <v>104</v>
      </c>
    </row>
    <row r="20" spans="1:6" x14ac:dyDescent="0.2">
      <c r="A20" s="2" t="s">
        <v>20</v>
      </c>
      <c r="B20" s="4" t="s">
        <v>6</v>
      </c>
      <c r="C20" s="4" t="s">
        <v>6</v>
      </c>
      <c r="D20" s="4" t="s">
        <v>6</v>
      </c>
      <c r="E20" s="12" t="s">
        <v>104</v>
      </c>
    </row>
    <row r="21" spans="1:6" x14ac:dyDescent="0.2">
      <c r="A21" s="2" t="s">
        <v>21</v>
      </c>
      <c r="B21" s="4" t="s">
        <v>6</v>
      </c>
      <c r="C21" s="4" t="s">
        <v>6</v>
      </c>
      <c r="D21" s="5" t="s">
        <v>12</v>
      </c>
      <c r="E21" s="12" t="s">
        <v>114</v>
      </c>
    </row>
    <row r="22" spans="1:6" x14ac:dyDescent="0.2">
      <c r="A22" s="2" t="s">
        <v>22</v>
      </c>
      <c r="B22" s="4" t="s">
        <v>6</v>
      </c>
      <c r="C22" s="4" t="s">
        <v>6</v>
      </c>
      <c r="D22" s="5" t="s">
        <v>12</v>
      </c>
      <c r="E22" s="12" t="s">
        <v>115</v>
      </c>
    </row>
    <row r="23" spans="1:6" x14ac:dyDescent="0.2">
      <c r="A23" s="2" t="s">
        <v>23</v>
      </c>
      <c r="B23" s="4" t="s">
        <v>6</v>
      </c>
      <c r="C23" s="4" t="s">
        <v>6</v>
      </c>
      <c r="D23" s="5" t="s">
        <v>12</v>
      </c>
      <c r="E23" s="12" t="s">
        <v>105</v>
      </c>
    </row>
    <row r="24" spans="1:6" x14ac:dyDescent="0.2">
      <c r="A24" s="2" t="s">
        <v>24</v>
      </c>
      <c r="B24" s="4" t="s">
        <v>6</v>
      </c>
      <c r="C24" s="4" t="s">
        <v>6</v>
      </c>
      <c r="D24" s="5" t="s">
        <v>12</v>
      </c>
      <c r="E24" s="12" t="s">
        <v>116</v>
      </c>
    </row>
    <row r="25" spans="1:6" x14ac:dyDescent="0.2">
      <c r="A25" s="2" t="s">
        <v>25</v>
      </c>
      <c r="B25" s="4" t="s">
        <v>6</v>
      </c>
      <c r="C25" s="4" t="s">
        <v>6</v>
      </c>
      <c r="D25" s="5" t="s">
        <v>12</v>
      </c>
      <c r="E25" s="12" t="s">
        <v>117</v>
      </c>
    </row>
    <row r="26" spans="1:6" x14ac:dyDescent="0.2">
      <c r="A26" s="2" t="s">
        <v>26</v>
      </c>
      <c r="B26" s="4" t="s">
        <v>6</v>
      </c>
      <c r="C26" s="4" t="s">
        <v>6</v>
      </c>
      <c r="D26" s="4" t="s">
        <v>6</v>
      </c>
      <c r="E26" s="12" t="s">
        <v>104</v>
      </c>
    </row>
    <row r="27" spans="1:6" x14ac:dyDescent="0.2">
      <c r="A27" s="2" t="s">
        <v>27</v>
      </c>
      <c r="B27" s="4" t="s">
        <v>6</v>
      </c>
      <c r="C27" s="5" t="s">
        <v>12</v>
      </c>
      <c r="D27" s="5" t="s">
        <v>12</v>
      </c>
      <c r="E27" s="12" t="s">
        <v>118</v>
      </c>
    </row>
    <row r="28" spans="1:6" x14ac:dyDescent="0.2">
      <c r="A28" s="2" t="s">
        <v>28</v>
      </c>
      <c r="B28" s="4" t="s">
        <v>6</v>
      </c>
      <c r="C28" s="4" t="s">
        <v>6</v>
      </c>
      <c r="D28" s="4" t="s">
        <v>6</v>
      </c>
      <c r="E28" s="12" t="s">
        <v>105</v>
      </c>
      <c r="F28" s="12" t="s">
        <v>124</v>
      </c>
    </row>
    <row r="29" spans="1:6" x14ac:dyDescent="0.2">
      <c r="A29" s="2" t="s">
        <v>29</v>
      </c>
      <c r="B29" s="4" t="s">
        <v>6</v>
      </c>
      <c r="C29" s="4" t="s">
        <v>6</v>
      </c>
      <c r="D29" s="4" t="s">
        <v>6</v>
      </c>
      <c r="E29" s="12" t="s">
        <v>119</v>
      </c>
    </row>
    <row r="30" spans="1:6" x14ac:dyDescent="0.2">
      <c r="A30" s="2" t="s">
        <v>30</v>
      </c>
      <c r="B30" s="4" t="s">
        <v>6</v>
      </c>
      <c r="C30" s="4" t="s">
        <v>6</v>
      </c>
      <c r="D30" s="4" t="s">
        <v>6</v>
      </c>
      <c r="E30" s="12" t="s">
        <v>112</v>
      </c>
    </row>
    <row r="31" spans="1:6" x14ac:dyDescent="0.2">
      <c r="A31" s="2" t="s">
        <v>31</v>
      </c>
      <c r="B31" s="4" t="s">
        <v>6</v>
      </c>
      <c r="C31" s="4" t="s">
        <v>6</v>
      </c>
      <c r="D31" s="5" t="s">
        <v>12</v>
      </c>
      <c r="E31" s="12" t="s">
        <v>117</v>
      </c>
    </row>
    <row r="32" spans="1:6" x14ac:dyDescent="0.2">
      <c r="A32" s="2" t="s">
        <v>32</v>
      </c>
      <c r="B32" s="4" t="s">
        <v>6</v>
      </c>
      <c r="C32" s="4" t="s">
        <v>6</v>
      </c>
      <c r="D32" s="5" t="s">
        <v>12</v>
      </c>
      <c r="E32" t="s">
        <v>132</v>
      </c>
    </row>
    <row r="33" spans="1:5" x14ac:dyDescent="0.2">
      <c r="A33" s="2" t="s">
        <v>33</v>
      </c>
      <c r="B33" s="4" t="s">
        <v>6</v>
      </c>
      <c r="C33" s="4" t="s">
        <v>6</v>
      </c>
      <c r="D33" s="5" t="s">
        <v>12</v>
      </c>
      <c r="E33" s="10" t="s">
        <v>132</v>
      </c>
    </row>
    <row r="34" spans="1:5" x14ac:dyDescent="0.2">
      <c r="A34" s="2" t="s">
        <v>34</v>
      </c>
      <c r="B34" s="4" t="s">
        <v>6</v>
      </c>
      <c r="C34" s="4" t="s">
        <v>6</v>
      </c>
      <c r="D34" s="5" t="s">
        <v>12</v>
      </c>
      <c r="E34" s="12" t="s">
        <v>132</v>
      </c>
    </row>
    <row r="35" spans="1:5" x14ac:dyDescent="0.2">
      <c r="A35" s="2" t="s">
        <v>35</v>
      </c>
      <c r="B35" s="4" t="s">
        <v>6</v>
      </c>
      <c r="C35" s="4" t="s">
        <v>6</v>
      </c>
      <c r="D35" s="5" t="s">
        <v>12</v>
      </c>
      <c r="E35" t="s">
        <v>132</v>
      </c>
    </row>
    <row r="36" spans="1:5" x14ac:dyDescent="0.2">
      <c r="A36" s="2" t="s">
        <v>36</v>
      </c>
      <c r="B36" s="4" t="s">
        <v>6</v>
      </c>
      <c r="C36" s="4" t="s">
        <v>6</v>
      </c>
      <c r="D36" s="5" t="s">
        <v>12</v>
      </c>
      <c r="E36" s="10" t="s">
        <v>104</v>
      </c>
    </row>
    <row r="37" spans="1:5" x14ac:dyDescent="0.2">
      <c r="A37" s="2" t="s">
        <v>37</v>
      </c>
      <c r="B37" s="4" t="s">
        <v>6</v>
      </c>
      <c r="C37" s="4" t="s">
        <v>6</v>
      </c>
      <c r="D37" s="5" t="s">
        <v>12</v>
      </c>
      <c r="E37" s="10" t="s">
        <v>105</v>
      </c>
    </row>
    <row r="38" spans="1:5" x14ac:dyDescent="0.2">
      <c r="A38" s="2" t="s">
        <v>38</v>
      </c>
      <c r="B38" s="4" t="s">
        <v>6</v>
      </c>
      <c r="C38" s="4" t="s">
        <v>6</v>
      </c>
      <c r="D38" s="4" t="s">
        <v>6</v>
      </c>
      <c r="E38" s="14" t="s">
        <v>118</v>
      </c>
    </row>
    <row r="39" spans="1:5" x14ac:dyDescent="0.2">
      <c r="A39" s="2" t="s">
        <v>39</v>
      </c>
      <c r="B39" s="4" t="s">
        <v>6</v>
      </c>
      <c r="C39" s="4" t="s">
        <v>6</v>
      </c>
      <c r="D39" s="5" t="s">
        <v>12</v>
      </c>
      <c r="E39" s="10" t="s">
        <v>120</v>
      </c>
    </row>
    <row r="40" spans="1:5" x14ac:dyDescent="0.2">
      <c r="A40" s="2" t="s">
        <v>40</v>
      </c>
      <c r="B40" s="4" t="s">
        <v>6</v>
      </c>
      <c r="C40" s="4" t="s">
        <v>6</v>
      </c>
      <c r="D40" s="5" t="s">
        <v>12</v>
      </c>
      <c r="E40" s="10" t="s">
        <v>120</v>
      </c>
    </row>
    <row r="41" spans="1:5" x14ac:dyDescent="0.2">
      <c r="A41" s="2" t="s">
        <v>41</v>
      </c>
      <c r="B41" s="4" t="s">
        <v>6</v>
      </c>
      <c r="C41" s="4" t="s">
        <v>6</v>
      </c>
      <c r="D41" s="4" t="s">
        <v>6</v>
      </c>
      <c r="E41" s="14" t="s">
        <v>104</v>
      </c>
    </row>
    <row r="42" spans="1:5" x14ac:dyDescent="0.2">
      <c r="A42" s="2" t="s">
        <v>42</v>
      </c>
      <c r="B42" s="4" t="s">
        <v>6</v>
      </c>
      <c r="C42" s="4" t="s">
        <v>6</v>
      </c>
      <c r="D42" s="4" t="s">
        <v>6</v>
      </c>
      <c r="E42" s="14" t="s">
        <v>104</v>
      </c>
    </row>
    <row r="43" spans="1:5" x14ac:dyDescent="0.2">
      <c r="A43" s="2" t="s">
        <v>43</v>
      </c>
      <c r="B43" s="4" t="s">
        <v>6</v>
      </c>
      <c r="C43" s="4" t="s">
        <v>6</v>
      </c>
      <c r="D43" s="4" t="s">
        <v>6</v>
      </c>
      <c r="E43" s="15" t="s">
        <v>104</v>
      </c>
    </row>
    <row r="44" spans="1:5" x14ac:dyDescent="0.2">
      <c r="A44" s="2" t="s">
        <v>44</v>
      </c>
      <c r="B44" s="4" t="s">
        <v>6</v>
      </c>
      <c r="C44" s="4" t="s">
        <v>6</v>
      </c>
      <c r="D44" s="4" t="s">
        <v>6</v>
      </c>
      <c r="E44" s="15" t="s">
        <v>104</v>
      </c>
    </row>
    <row r="45" spans="1:5" x14ac:dyDescent="0.2">
      <c r="A45" s="2" t="s">
        <v>45</v>
      </c>
      <c r="B45" s="4" t="s">
        <v>6</v>
      </c>
      <c r="C45" s="4" t="s">
        <v>6</v>
      </c>
      <c r="D45" s="4" t="s">
        <v>6</v>
      </c>
      <c r="E45" s="15" t="s">
        <v>104</v>
      </c>
    </row>
    <row r="46" spans="1:5" x14ac:dyDescent="0.2">
      <c r="A46" s="2" t="s">
        <v>46</v>
      </c>
      <c r="B46" s="4" t="s">
        <v>6</v>
      </c>
      <c r="C46" s="4" t="s">
        <v>6</v>
      </c>
      <c r="D46" s="5" t="s">
        <v>12</v>
      </c>
      <c r="E46" s="15" t="s">
        <v>118</v>
      </c>
    </row>
    <row r="47" spans="1:5" x14ac:dyDescent="0.2">
      <c r="A47" s="2" t="s">
        <v>47</v>
      </c>
      <c r="B47" s="4" t="s">
        <v>6</v>
      </c>
      <c r="C47" s="4" t="s">
        <v>6</v>
      </c>
      <c r="D47" s="5" t="s">
        <v>12</v>
      </c>
      <c r="E47" s="15" t="s">
        <v>118</v>
      </c>
    </row>
    <row r="48" spans="1:5" x14ac:dyDescent="0.2">
      <c r="A48" s="2" t="s">
        <v>48</v>
      </c>
      <c r="B48" s="4" t="s">
        <v>6</v>
      </c>
      <c r="C48" s="4" t="s">
        <v>6</v>
      </c>
      <c r="D48" s="4" t="s">
        <v>6</v>
      </c>
      <c r="E48" s="15" t="s">
        <v>118</v>
      </c>
    </row>
    <row r="49" spans="1:6" x14ac:dyDescent="0.2">
      <c r="A49" s="2" t="s">
        <v>49</v>
      </c>
      <c r="B49" s="4" t="s">
        <v>6</v>
      </c>
      <c r="C49" s="5" t="s">
        <v>12</v>
      </c>
      <c r="D49" s="5" t="s">
        <v>12</v>
      </c>
      <c r="E49" s="15" t="s">
        <v>118</v>
      </c>
    </row>
    <row r="50" spans="1:6" x14ac:dyDescent="0.2">
      <c r="A50" s="2" t="s">
        <v>50</v>
      </c>
      <c r="B50" s="4" t="s">
        <v>6</v>
      </c>
      <c r="C50" s="4" t="s">
        <v>6</v>
      </c>
      <c r="D50" s="4" t="s">
        <v>6</v>
      </c>
      <c r="E50" s="15" t="s">
        <v>118</v>
      </c>
    </row>
    <row r="51" spans="1:6" x14ac:dyDescent="0.2">
      <c r="A51" s="2" t="s">
        <v>51</v>
      </c>
      <c r="B51" s="4" t="s">
        <v>6</v>
      </c>
      <c r="C51" s="4" t="s">
        <v>6</v>
      </c>
      <c r="D51" s="4" t="s">
        <v>6</v>
      </c>
      <c r="E51" s="15" t="s">
        <v>118</v>
      </c>
    </row>
    <row r="52" spans="1:6" x14ac:dyDescent="0.2">
      <c r="A52" s="2" t="s">
        <v>52</v>
      </c>
      <c r="B52" s="4" t="s">
        <v>6</v>
      </c>
      <c r="C52" s="5" t="s">
        <v>12</v>
      </c>
      <c r="D52" s="5" t="s">
        <v>12</v>
      </c>
      <c r="E52" s="15" t="s">
        <v>118</v>
      </c>
    </row>
    <row r="53" spans="1:6" x14ac:dyDescent="0.2">
      <c r="A53" s="2" t="s">
        <v>53</v>
      </c>
      <c r="B53" s="4" t="s">
        <v>6</v>
      </c>
      <c r="C53" s="4" t="s">
        <v>6</v>
      </c>
      <c r="D53" s="4" t="s">
        <v>6</v>
      </c>
      <c r="E53" s="15" t="s">
        <v>118</v>
      </c>
    </row>
    <row r="54" spans="1:6" x14ac:dyDescent="0.2">
      <c r="A54" s="2" t="s">
        <v>54</v>
      </c>
      <c r="B54" s="4" t="s">
        <v>6</v>
      </c>
      <c r="C54" s="4" t="s">
        <v>6</v>
      </c>
      <c r="D54" s="5" t="s">
        <v>12</v>
      </c>
      <c r="E54" s="15" t="s">
        <v>118</v>
      </c>
    </row>
    <row r="55" spans="1:6" x14ac:dyDescent="0.2">
      <c r="A55" s="2" t="s">
        <v>55</v>
      </c>
      <c r="B55" s="4" t="s">
        <v>6</v>
      </c>
      <c r="C55" s="5" t="s">
        <v>12</v>
      </c>
      <c r="D55" s="5" t="s">
        <v>12</v>
      </c>
      <c r="E55" s="15" t="s">
        <v>118</v>
      </c>
    </row>
    <row r="56" spans="1:6" x14ac:dyDescent="0.2">
      <c r="A56" s="2" t="s">
        <v>56</v>
      </c>
      <c r="B56" s="4" t="s">
        <v>6</v>
      </c>
      <c r="C56" s="4" t="s">
        <v>6</v>
      </c>
      <c r="D56" s="4" t="s">
        <v>6</v>
      </c>
      <c r="E56" s="15" t="s">
        <v>104</v>
      </c>
    </row>
    <row r="57" spans="1:6" x14ac:dyDescent="0.2">
      <c r="A57" s="2" t="s">
        <v>57</v>
      </c>
      <c r="B57" s="4" t="s">
        <v>6</v>
      </c>
      <c r="C57" s="4" t="s">
        <v>6</v>
      </c>
      <c r="D57" s="4" t="s">
        <v>6</v>
      </c>
      <c r="E57" s="15" t="s">
        <v>118</v>
      </c>
    </row>
    <row r="58" spans="1:6" x14ac:dyDescent="0.2">
      <c r="A58" s="2" t="s">
        <v>58</v>
      </c>
      <c r="B58" s="4" t="s">
        <v>6</v>
      </c>
      <c r="C58" s="4" t="s">
        <v>6</v>
      </c>
      <c r="D58" s="4" t="s">
        <v>6</v>
      </c>
      <c r="E58" s="15" t="s">
        <v>104</v>
      </c>
    </row>
    <row r="59" spans="1:6" x14ac:dyDescent="0.2">
      <c r="A59" s="2" t="s">
        <v>59</v>
      </c>
      <c r="B59" s="4" t="s">
        <v>6</v>
      </c>
      <c r="C59" s="4" t="s">
        <v>6</v>
      </c>
      <c r="D59" s="5" t="s">
        <v>12</v>
      </c>
      <c r="E59" s="15" t="s">
        <v>104</v>
      </c>
    </row>
    <row r="60" spans="1:6" x14ac:dyDescent="0.2">
      <c r="A60" s="2" t="s">
        <v>60</v>
      </c>
      <c r="B60" s="5" t="s">
        <v>12</v>
      </c>
      <c r="C60" s="5" t="s">
        <v>12</v>
      </c>
      <c r="D60" s="5" t="s">
        <v>12</v>
      </c>
      <c r="E60" s="15" t="s">
        <v>104</v>
      </c>
    </row>
    <row r="61" spans="1:6" x14ac:dyDescent="0.2">
      <c r="A61" s="2" t="s">
        <v>61</v>
      </c>
      <c r="B61" s="4" t="s">
        <v>6</v>
      </c>
      <c r="C61" s="5" t="s">
        <v>12</v>
      </c>
      <c r="D61" s="5" t="s">
        <v>12</v>
      </c>
      <c r="E61" s="15" t="s">
        <v>117</v>
      </c>
      <c r="F61" s="10" t="s">
        <v>124</v>
      </c>
    </row>
    <row r="62" spans="1:6" x14ac:dyDescent="0.2">
      <c r="A62" s="2" t="s">
        <v>62</v>
      </c>
      <c r="B62" s="4" t="s">
        <v>6</v>
      </c>
      <c r="C62" s="4" t="s">
        <v>6</v>
      </c>
      <c r="D62" s="5" t="s">
        <v>12</v>
      </c>
      <c r="E62" s="15" t="s">
        <v>121</v>
      </c>
    </row>
    <row r="63" spans="1:6" x14ac:dyDescent="0.2">
      <c r="A63" s="2" t="s">
        <v>63</v>
      </c>
      <c r="B63" s="4" t="s">
        <v>6</v>
      </c>
      <c r="C63" s="4" t="s">
        <v>6</v>
      </c>
      <c r="D63" s="4" t="s">
        <v>6</v>
      </c>
      <c r="E63" s="15" t="s">
        <v>117</v>
      </c>
    </row>
    <row r="64" spans="1:6" x14ac:dyDescent="0.2">
      <c r="A64" s="2" t="s">
        <v>64</v>
      </c>
      <c r="B64" s="4" t="s">
        <v>6</v>
      </c>
      <c r="C64" s="4" t="s">
        <v>6</v>
      </c>
      <c r="D64" s="5" t="s">
        <v>12</v>
      </c>
      <c r="E64" t="s">
        <v>132</v>
      </c>
    </row>
    <row r="65" spans="1:6" x14ac:dyDescent="0.2">
      <c r="A65" s="2" t="s">
        <v>65</v>
      </c>
      <c r="B65" s="4" t="s">
        <v>6</v>
      </c>
      <c r="C65" s="4" t="s">
        <v>6</v>
      </c>
      <c r="D65" s="5" t="s">
        <v>12</v>
      </c>
      <c r="E65" s="15" t="s">
        <v>118</v>
      </c>
    </row>
    <row r="66" spans="1:6" x14ac:dyDescent="0.2">
      <c r="A66" s="2" t="s">
        <v>66</v>
      </c>
      <c r="B66" s="4" t="s">
        <v>6</v>
      </c>
      <c r="C66" s="4" t="s">
        <v>6</v>
      </c>
      <c r="D66" s="5" t="s">
        <v>12</v>
      </c>
      <c r="E66" s="15" t="s">
        <v>118</v>
      </c>
    </row>
    <row r="67" spans="1:6" x14ac:dyDescent="0.2">
      <c r="A67" s="2" t="s">
        <v>67</v>
      </c>
      <c r="B67" s="4" t="s">
        <v>6</v>
      </c>
      <c r="C67" s="4" t="s">
        <v>6</v>
      </c>
      <c r="D67" s="5" t="s">
        <v>12</v>
      </c>
      <c r="E67" s="15" t="s">
        <v>113</v>
      </c>
    </row>
    <row r="68" spans="1:6" x14ac:dyDescent="0.2">
      <c r="A68" s="2" t="s">
        <v>68</v>
      </c>
      <c r="B68" s="4" t="s">
        <v>6</v>
      </c>
      <c r="C68" s="4" t="s">
        <v>6</v>
      </c>
      <c r="D68" s="5" t="s">
        <v>12</v>
      </c>
      <c r="E68" s="15" t="s">
        <v>122</v>
      </c>
    </row>
    <row r="69" spans="1:6" x14ac:dyDescent="0.2">
      <c r="A69" s="2" t="s">
        <v>69</v>
      </c>
      <c r="B69" s="4" t="s">
        <v>6</v>
      </c>
      <c r="C69" s="4" t="s">
        <v>6</v>
      </c>
      <c r="D69" s="5" t="s">
        <v>12</v>
      </c>
      <c r="E69" s="15" t="s">
        <v>123</v>
      </c>
    </row>
    <row r="70" spans="1:6" x14ac:dyDescent="0.2">
      <c r="A70" s="2" t="s">
        <v>70</v>
      </c>
      <c r="B70" s="4" t="s">
        <v>6</v>
      </c>
      <c r="C70" s="4" t="s">
        <v>6</v>
      </c>
      <c r="D70" s="5" t="s">
        <v>12</v>
      </c>
      <c r="E70" s="15" t="s">
        <v>132</v>
      </c>
    </row>
    <row r="71" spans="1:6" x14ac:dyDescent="0.2">
      <c r="A71" s="2" t="s">
        <v>71</v>
      </c>
      <c r="B71" s="4" t="s">
        <v>6</v>
      </c>
      <c r="C71" s="4" t="s">
        <v>6</v>
      </c>
      <c r="D71" s="5" t="s">
        <v>12</v>
      </c>
      <c r="E71" s="10" t="s">
        <v>132</v>
      </c>
    </row>
    <row r="72" spans="1:6" x14ac:dyDescent="0.2">
      <c r="A72" s="2" t="s">
        <v>72</v>
      </c>
      <c r="B72" s="4" t="s">
        <v>6</v>
      </c>
      <c r="C72" s="4" t="s">
        <v>6</v>
      </c>
      <c r="D72" s="5" t="s">
        <v>12</v>
      </c>
      <c r="E72" s="10" t="s">
        <v>143</v>
      </c>
    </row>
    <row r="73" spans="1:6" x14ac:dyDescent="0.2">
      <c r="A73" s="2" t="s">
        <v>73</v>
      </c>
      <c r="B73" s="4" t="s">
        <v>6</v>
      </c>
      <c r="C73" s="5" t="s">
        <v>12</v>
      </c>
      <c r="D73" s="5" t="s">
        <v>12</v>
      </c>
      <c r="E73" s="10" t="s">
        <v>132</v>
      </c>
    </row>
    <row r="74" spans="1:6" x14ac:dyDescent="0.2">
      <c r="A74" s="2" t="s">
        <v>74</v>
      </c>
      <c r="B74" s="4" t="s">
        <v>6</v>
      </c>
      <c r="C74" s="4" t="s">
        <v>6</v>
      </c>
      <c r="D74" s="5" t="s">
        <v>12</v>
      </c>
      <c r="E74" s="10" t="s">
        <v>143</v>
      </c>
    </row>
    <row r="75" spans="1:6" x14ac:dyDescent="0.2">
      <c r="A75" s="2" t="s">
        <v>75</v>
      </c>
      <c r="B75" s="4" t="s">
        <v>6</v>
      </c>
      <c r="C75" s="4" t="s">
        <v>6</v>
      </c>
      <c r="D75" s="5" t="s">
        <v>12</v>
      </c>
      <c r="E75" s="10" t="s">
        <v>143</v>
      </c>
      <c r="F75" s="10" t="s">
        <v>124</v>
      </c>
    </row>
    <row r="76" spans="1:6" x14ac:dyDescent="0.2">
      <c r="A76" s="2" t="s">
        <v>76</v>
      </c>
      <c r="B76" s="4" t="s">
        <v>6</v>
      </c>
      <c r="C76" s="4" t="s">
        <v>6</v>
      </c>
      <c r="D76" s="5" t="s">
        <v>12</v>
      </c>
    </row>
    <row r="77" spans="1:6" x14ac:dyDescent="0.2">
      <c r="A77" s="2" t="s">
        <v>77</v>
      </c>
      <c r="B77" s="4" t="s">
        <v>6</v>
      </c>
      <c r="C77" s="4" t="s">
        <v>6</v>
      </c>
      <c r="D77" s="5" t="s">
        <v>12</v>
      </c>
      <c r="E77" s="10" t="s">
        <v>143</v>
      </c>
    </row>
    <row r="78" spans="1:6" x14ac:dyDescent="0.2">
      <c r="A78" s="2" t="s">
        <v>78</v>
      </c>
      <c r="B78" s="4" t="s">
        <v>6</v>
      </c>
      <c r="C78" s="4" t="s">
        <v>6</v>
      </c>
      <c r="D78" s="5" t="s">
        <v>12</v>
      </c>
      <c r="E78" s="10" t="s">
        <v>115</v>
      </c>
    </row>
    <row r="79" spans="1:6" x14ac:dyDescent="0.2">
      <c r="A79" s="2" t="s">
        <v>79</v>
      </c>
      <c r="B79" s="4" t="s">
        <v>6</v>
      </c>
      <c r="C79" s="4" t="s">
        <v>6</v>
      </c>
      <c r="D79" s="5" t="s">
        <v>12</v>
      </c>
      <c r="E79" s="10" t="s">
        <v>113</v>
      </c>
    </row>
    <row r="80" spans="1:6" x14ac:dyDescent="0.2">
      <c r="A80" s="2" t="s">
        <v>80</v>
      </c>
      <c r="B80" s="4" t="s">
        <v>6</v>
      </c>
      <c r="C80" s="4" t="s">
        <v>6</v>
      </c>
      <c r="D80" s="5" t="s">
        <v>12</v>
      </c>
      <c r="E80" s="10" t="s">
        <v>115</v>
      </c>
    </row>
    <row r="81" spans="1:6" x14ac:dyDescent="0.2">
      <c r="A81" s="2" t="s">
        <v>81</v>
      </c>
      <c r="B81" s="4" t="s">
        <v>6</v>
      </c>
      <c r="C81" s="4" t="s">
        <v>6</v>
      </c>
      <c r="D81" s="5" t="s">
        <v>12</v>
      </c>
      <c r="E81" s="10" t="s">
        <v>118</v>
      </c>
      <c r="F81" s="10" t="s">
        <v>124</v>
      </c>
    </row>
    <row r="82" spans="1:6" x14ac:dyDescent="0.2">
      <c r="B82" s="6">
        <f>COUNTIF(B7:B81,"OUI")</f>
        <v>74</v>
      </c>
      <c r="C82" s="6">
        <f t="shared" ref="C82:D82" si="0">COUNTIF(C7:C81,"OUI")</f>
        <v>68</v>
      </c>
      <c r="D82" s="6">
        <f t="shared" si="0"/>
        <v>29</v>
      </c>
    </row>
    <row r="84" spans="1:6" x14ac:dyDescent="0.2">
      <c r="A84" s="11" t="s">
        <v>88</v>
      </c>
      <c r="B84" s="13" t="s">
        <v>6</v>
      </c>
      <c r="C84" s="12" t="s">
        <v>6</v>
      </c>
      <c r="D84" s="21" t="s">
        <v>142</v>
      </c>
      <c r="E84" s="10" t="s">
        <v>90</v>
      </c>
    </row>
    <row r="85" spans="1:6" x14ac:dyDescent="0.2">
      <c r="A85" s="11" t="s">
        <v>89</v>
      </c>
      <c r="B85" s="13" t="s">
        <v>6</v>
      </c>
      <c r="C85" s="12" t="s">
        <v>6</v>
      </c>
      <c r="D85" s="21" t="s">
        <v>142</v>
      </c>
      <c r="E85" s="10" t="s">
        <v>111</v>
      </c>
    </row>
    <row r="86" spans="1:6" x14ac:dyDescent="0.2">
      <c r="A86" s="11" t="s">
        <v>91</v>
      </c>
      <c r="B86" s="13" t="s">
        <v>92</v>
      </c>
      <c r="C86" s="12" t="s">
        <v>92</v>
      </c>
      <c r="D86" s="21" t="s">
        <v>142</v>
      </c>
      <c r="E86" s="10" t="s">
        <v>93</v>
      </c>
      <c r="F86" s="10" t="s">
        <v>124</v>
      </c>
    </row>
    <row r="87" spans="1:6" x14ac:dyDescent="0.2">
      <c r="A87" s="11" t="s">
        <v>94</v>
      </c>
      <c r="B87" s="13" t="s">
        <v>6</v>
      </c>
      <c r="C87" s="12" t="s">
        <v>95</v>
      </c>
      <c r="D87" s="21" t="s">
        <v>142</v>
      </c>
      <c r="E87" s="10" t="s">
        <v>96</v>
      </c>
      <c r="F87" s="10" t="s">
        <v>124</v>
      </c>
    </row>
    <row r="88" spans="1:6" x14ac:dyDescent="0.2">
      <c r="A88" s="11" t="s">
        <v>97</v>
      </c>
      <c r="B88" s="13" t="s">
        <v>98</v>
      </c>
      <c r="C88" s="12" t="s">
        <v>95</v>
      </c>
      <c r="D88" s="21" t="s">
        <v>142</v>
      </c>
      <c r="E88" s="10" t="s">
        <v>104</v>
      </c>
    </row>
    <row r="89" spans="1:6" x14ac:dyDescent="0.2">
      <c r="A89" s="11" t="s">
        <v>99</v>
      </c>
      <c r="B89" s="13" t="s">
        <v>98</v>
      </c>
      <c r="C89" s="12" t="s">
        <v>95</v>
      </c>
      <c r="D89" s="21" t="s">
        <v>142</v>
      </c>
      <c r="E89" s="10" t="s">
        <v>104</v>
      </c>
    </row>
    <row r="90" spans="1:6" x14ac:dyDescent="0.2">
      <c r="A90" s="11" t="s">
        <v>100</v>
      </c>
      <c r="B90" s="13" t="s">
        <v>98</v>
      </c>
      <c r="C90" s="12" t="s">
        <v>95</v>
      </c>
      <c r="D90" s="21" t="s">
        <v>142</v>
      </c>
      <c r="E90" s="10" t="s">
        <v>104</v>
      </c>
    </row>
    <row r="91" spans="1:6" x14ac:dyDescent="0.2">
      <c r="A91" s="11" t="s">
        <v>101</v>
      </c>
      <c r="B91" s="13" t="s">
        <v>98</v>
      </c>
      <c r="C91" s="12" t="s">
        <v>95</v>
      </c>
      <c r="D91" s="21" t="s">
        <v>142</v>
      </c>
      <c r="E91" s="10" t="s">
        <v>104</v>
      </c>
    </row>
    <row r="92" spans="1:6" x14ac:dyDescent="0.2">
      <c r="A92" s="11" t="s">
        <v>102</v>
      </c>
      <c r="B92" s="13" t="s">
        <v>98</v>
      </c>
      <c r="C92" s="12" t="s">
        <v>95</v>
      </c>
      <c r="D92" s="21" t="s">
        <v>142</v>
      </c>
      <c r="E92" s="10" t="s">
        <v>105</v>
      </c>
    </row>
    <row r="93" spans="1:6" x14ac:dyDescent="0.2">
      <c r="A93" s="11" t="s">
        <v>103</v>
      </c>
      <c r="B93" s="13" t="s">
        <v>98</v>
      </c>
      <c r="C93" s="12" t="s">
        <v>95</v>
      </c>
      <c r="D93" s="21" t="s">
        <v>142</v>
      </c>
      <c r="E93" s="10" t="s">
        <v>105</v>
      </c>
    </row>
    <row r="94" spans="1:6" x14ac:dyDescent="0.2">
      <c r="A94" s="11" t="s">
        <v>106</v>
      </c>
      <c r="B94" s="13" t="s">
        <v>98</v>
      </c>
      <c r="C94" s="12" t="s">
        <v>92</v>
      </c>
      <c r="D94" s="21" t="s">
        <v>142</v>
      </c>
      <c r="E94" s="10" t="s">
        <v>108</v>
      </c>
    </row>
    <row r="95" spans="1:6" x14ac:dyDescent="0.2">
      <c r="A95" s="11" t="s">
        <v>107</v>
      </c>
      <c r="B95" s="13" t="s">
        <v>6</v>
      </c>
      <c r="C95" s="12" t="s">
        <v>92</v>
      </c>
      <c r="D95" s="21" t="s">
        <v>142</v>
      </c>
      <c r="E95" s="10" t="s">
        <v>109</v>
      </c>
    </row>
    <row r="96" spans="1:6" x14ac:dyDescent="0.2">
      <c r="A96" s="11" t="s">
        <v>110</v>
      </c>
      <c r="B96" s="13" t="s">
        <v>98</v>
      </c>
      <c r="C96" s="12" t="s">
        <v>98</v>
      </c>
      <c r="D96" s="21" t="s">
        <v>142</v>
      </c>
      <c r="E96" s="10" t="s">
        <v>111</v>
      </c>
    </row>
    <row r="97" spans="1:6" x14ac:dyDescent="0.2">
      <c r="A97" s="11" t="s">
        <v>128</v>
      </c>
      <c r="B97" s="13" t="s">
        <v>98</v>
      </c>
      <c r="C97" s="12" t="s">
        <v>6</v>
      </c>
      <c r="D97" s="21" t="s">
        <v>142</v>
      </c>
      <c r="E97" s="10" t="s">
        <v>129</v>
      </c>
    </row>
    <row r="98" spans="1:6" x14ac:dyDescent="0.2">
      <c r="A98" s="11" t="s">
        <v>130</v>
      </c>
      <c r="B98" s="13" t="s">
        <v>92</v>
      </c>
      <c r="C98" s="12" t="s">
        <v>92</v>
      </c>
      <c r="D98" s="21" t="s">
        <v>142</v>
      </c>
      <c r="E98" s="10" t="s">
        <v>131</v>
      </c>
    </row>
    <row r="99" spans="1:6" x14ac:dyDescent="0.2">
      <c r="A99" s="16"/>
      <c r="B99" s="13"/>
      <c r="C99" s="13"/>
      <c r="E99" s="10"/>
    </row>
    <row r="100" spans="1:6" x14ac:dyDescent="0.2">
      <c r="A100" s="11"/>
      <c r="B100" s="13"/>
      <c r="C100" s="12"/>
      <c r="E100" s="10"/>
    </row>
    <row r="101" spans="1:6" x14ac:dyDescent="0.2">
      <c r="A101" s="11"/>
      <c r="B101" s="13"/>
      <c r="C101" s="12"/>
      <c r="E101" s="10"/>
    </row>
    <row r="105" spans="1:6" x14ac:dyDescent="0.2">
      <c r="A105" s="7" t="s">
        <v>126</v>
      </c>
      <c r="B105" s="7">
        <f>B82+COUNTIF(B84:B104,"oui")</f>
        <v>87</v>
      </c>
      <c r="C105" s="7">
        <f>C82+COUNTIF(C84:C104,"oui")</f>
        <v>79</v>
      </c>
      <c r="D105" s="7"/>
      <c r="E105" s="7" t="s">
        <v>127</v>
      </c>
      <c r="F105" s="7">
        <f>COUNTIF(F7:F96,"VM") +1</f>
        <v>7</v>
      </c>
    </row>
    <row r="106" spans="1:6" s="18" customFormat="1" x14ac:dyDescent="0.2">
      <c r="A106" s="18" t="s">
        <v>139</v>
      </c>
      <c r="B106" s="18">
        <f>B105+B108</f>
        <v>94</v>
      </c>
      <c r="C106" s="18">
        <f>C105+C108</f>
        <v>85</v>
      </c>
      <c r="D106" s="17"/>
      <c r="E106" s="17"/>
      <c r="F106" s="17"/>
    </row>
    <row r="107" spans="1:6" s="18" customFormat="1" x14ac:dyDescent="0.2">
      <c r="A107" s="17"/>
      <c r="B107" s="17"/>
      <c r="C107" s="17"/>
      <c r="D107" s="17"/>
      <c r="E107" s="17"/>
      <c r="F107" s="17"/>
    </row>
    <row r="108" spans="1:6" s="18" customFormat="1" x14ac:dyDescent="0.2">
      <c r="A108" s="18" t="s">
        <v>158</v>
      </c>
      <c r="B108" s="18">
        <f>COUNTIF(B109:B125,"OUI")</f>
        <v>7</v>
      </c>
      <c r="C108" s="18">
        <f>COUNTIF(C109:C125,"OUI")</f>
        <v>6</v>
      </c>
    </row>
    <row r="109" spans="1:6" s="18" customFormat="1" x14ac:dyDescent="0.2">
      <c r="A109" s="19" t="s">
        <v>133</v>
      </c>
      <c r="B109" s="20" t="s">
        <v>98</v>
      </c>
      <c r="C109" s="20" t="s">
        <v>98</v>
      </c>
      <c r="D109" s="21" t="s">
        <v>142</v>
      </c>
      <c r="E109" s="18" t="s">
        <v>118</v>
      </c>
    </row>
    <row r="110" spans="1:6" s="18" customFormat="1" x14ac:dyDescent="0.2">
      <c r="A110" s="19" t="s">
        <v>134</v>
      </c>
      <c r="B110" s="20" t="s">
        <v>98</v>
      </c>
      <c r="C110" s="20" t="s">
        <v>98</v>
      </c>
      <c r="D110" s="21" t="s">
        <v>142</v>
      </c>
      <c r="E110" s="18" t="s">
        <v>138</v>
      </c>
    </row>
    <row r="111" spans="1:6" s="18" customFormat="1" x14ac:dyDescent="0.2">
      <c r="A111" s="19" t="s">
        <v>135</v>
      </c>
      <c r="B111" s="20" t="s">
        <v>98</v>
      </c>
      <c r="C111" s="20" t="s">
        <v>98</v>
      </c>
      <c r="D111" s="21" t="s">
        <v>142</v>
      </c>
      <c r="E111" s="18" t="s">
        <v>138</v>
      </c>
    </row>
    <row r="112" spans="1:6" s="18" customFormat="1" x14ac:dyDescent="0.2">
      <c r="A112" s="19" t="s">
        <v>136</v>
      </c>
      <c r="B112" s="20" t="s">
        <v>98</v>
      </c>
      <c r="C112" s="20" t="s">
        <v>98</v>
      </c>
      <c r="D112" s="21" t="s">
        <v>142</v>
      </c>
      <c r="E112" s="18" t="s">
        <v>138</v>
      </c>
    </row>
    <row r="113" spans="1:5" s="18" customFormat="1" x14ac:dyDescent="0.2">
      <c r="A113" s="19" t="s">
        <v>137</v>
      </c>
      <c r="B113" s="20" t="s">
        <v>98</v>
      </c>
      <c r="C113" s="20" t="s">
        <v>98</v>
      </c>
      <c r="D113" s="21" t="s">
        <v>142</v>
      </c>
      <c r="E113" s="18" t="s">
        <v>138</v>
      </c>
    </row>
    <row r="114" spans="1:5" x14ac:dyDescent="0.2">
      <c r="A114" s="19" t="s">
        <v>140</v>
      </c>
      <c r="B114" s="20" t="s">
        <v>98</v>
      </c>
      <c r="C114" s="21" t="s">
        <v>156</v>
      </c>
      <c r="D114" s="21" t="s">
        <v>142</v>
      </c>
      <c r="E114" s="18" t="s">
        <v>141</v>
      </c>
    </row>
    <row r="115" spans="1:5" x14ac:dyDescent="0.2">
      <c r="A115" s="19" t="s">
        <v>155</v>
      </c>
      <c r="B115" s="20" t="s">
        <v>98</v>
      </c>
      <c r="C115" s="20" t="s">
        <v>98</v>
      </c>
      <c r="D115" s="21" t="s">
        <v>142</v>
      </c>
      <c r="E115" s="18" t="s">
        <v>118</v>
      </c>
    </row>
    <row r="116" spans="1:5" x14ac:dyDescent="0.2">
      <c r="A116" s="19"/>
      <c r="B116" s="20"/>
      <c r="C116" s="20"/>
      <c r="E116" s="18"/>
    </row>
  </sheetData>
  <sheetProtection formatCells="0" formatColumns="0" formatRows="0" insertColumns="0" insertRows="0" insertHyperlinks="0" deleteColumns="0" deleteRows="0" sort="0" autoFilter="0" pivotTables="0"/>
  <autoFilter ref="A6:E82" xr:uid="{00000000-0001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00"/>
  <sheetViews>
    <sheetView workbookViewId="0">
      <selection activeCell="A5" sqref="A5:A200"/>
    </sheetView>
  </sheetViews>
  <sheetFormatPr baseColWidth="10" defaultColWidth="20" defaultRowHeight="15" x14ac:dyDescent="0.2"/>
  <sheetData>
    <row r="2" spans="1:26" ht="20" x14ac:dyDescent="0.25">
      <c r="A2" s="1" t="s">
        <v>82</v>
      </c>
    </row>
    <row r="4" spans="1:26" x14ac:dyDescent="0.2">
      <c r="A4" s="7" t="s">
        <v>83</v>
      </c>
      <c r="B4" s="7" t="s">
        <v>84</v>
      </c>
      <c r="C4" s="7" t="s">
        <v>82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12" x14ac:dyDescent="0.2">
      <c r="A5" s="9" t="s">
        <v>85</v>
      </c>
      <c r="B5" s="9" t="s">
        <v>86</v>
      </c>
      <c r="C5" s="8" t="s">
        <v>87</v>
      </c>
    </row>
    <row r="6" spans="1:26" x14ac:dyDescent="0.2">
      <c r="A6" s="9"/>
      <c r="B6" s="9"/>
      <c r="C6" s="8"/>
    </row>
    <row r="7" spans="1:26" x14ac:dyDescent="0.2">
      <c r="A7" s="9"/>
      <c r="B7" s="9"/>
      <c r="C7" s="8"/>
    </row>
    <row r="8" spans="1:26" x14ac:dyDescent="0.2">
      <c r="A8" s="9"/>
      <c r="B8" s="9"/>
      <c r="C8" s="8"/>
    </row>
    <row r="9" spans="1:26" x14ac:dyDescent="0.2">
      <c r="A9" s="9"/>
      <c r="B9" s="9"/>
      <c r="C9" s="8"/>
    </row>
    <row r="10" spans="1:26" x14ac:dyDescent="0.2">
      <c r="A10" s="9"/>
      <c r="B10" s="9"/>
      <c r="C10" s="8"/>
    </row>
    <row r="11" spans="1:26" x14ac:dyDescent="0.2">
      <c r="A11" s="9"/>
      <c r="B11" s="9"/>
      <c r="C11" s="8"/>
    </row>
    <row r="12" spans="1:26" x14ac:dyDescent="0.2">
      <c r="A12" s="9"/>
      <c r="B12" s="9"/>
      <c r="C12" s="8"/>
    </row>
    <row r="13" spans="1:26" x14ac:dyDescent="0.2">
      <c r="A13" s="9"/>
      <c r="B13" s="9"/>
      <c r="C13" s="8"/>
    </row>
    <row r="14" spans="1:26" x14ac:dyDescent="0.2">
      <c r="A14" s="9"/>
      <c r="B14" s="9"/>
      <c r="C14" s="8"/>
    </row>
    <row r="15" spans="1:26" x14ac:dyDescent="0.2">
      <c r="A15" s="9"/>
      <c r="B15" s="9"/>
      <c r="C15" s="8"/>
    </row>
    <row r="16" spans="1:26" x14ac:dyDescent="0.2">
      <c r="A16" s="9"/>
      <c r="B16" s="9"/>
      <c r="C16" s="8"/>
    </row>
    <row r="17" spans="1:3" x14ac:dyDescent="0.2">
      <c r="A17" s="9"/>
      <c r="B17" s="9"/>
      <c r="C17" s="8"/>
    </row>
    <row r="18" spans="1:3" x14ac:dyDescent="0.2">
      <c r="A18" s="9"/>
      <c r="B18" s="9"/>
      <c r="C18" s="8"/>
    </row>
    <row r="19" spans="1:3" x14ac:dyDescent="0.2">
      <c r="A19" s="9"/>
      <c r="B19" s="9"/>
      <c r="C19" s="8"/>
    </row>
    <row r="20" spans="1:3" x14ac:dyDescent="0.2">
      <c r="A20" s="9"/>
      <c r="B20" s="9"/>
      <c r="C20" s="8"/>
    </row>
    <row r="21" spans="1:3" x14ac:dyDescent="0.2">
      <c r="A21" s="9"/>
      <c r="B21" s="9"/>
      <c r="C21" s="8"/>
    </row>
    <row r="22" spans="1:3" x14ac:dyDescent="0.2">
      <c r="A22" s="9"/>
      <c r="B22" s="9"/>
      <c r="C22" s="8"/>
    </row>
    <row r="23" spans="1:3" x14ac:dyDescent="0.2">
      <c r="A23" s="9"/>
      <c r="B23" s="9"/>
      <c r="C23" s="8"/>
    </row>
    <row r="24" spans="1:3" x14ac:dyDescent="0.2">
      <c r="A24" s="9"/>
      <c r="B24" s="9"/>
      <c r="C24" s="8"/>
    </row>
    <row r="25" spans="1:3" x14ac:dyDescent="0.2">
      <c r="A25" s="9"/>
      <c r="B25" s="9"/>
      <c r="C25" s="8"/>
    </row>
    <row r="26" spans="1:3" x14ac:dyDescent="0.2">
      <c r="A26" s="9"/>
      <c r="B26" s="9"/>
      <c r="C26" s="8"/>
    </row>
    <row r="27" spans="1:3" x14ac:dyDescent="0.2">
      <c r="A27" s="9"/>
      <c r="B27" s="9"/>
      <c r="C27" s="8"/>
    </row>
    <row r="28" spans="1:3" x14ac:dyDescent="0.2">
      <c r="A28" s="9"/>
      <c r="B28" s="9"/>
      <c r="C28" s="8"/>
    </row>
    <row r="29" spans="1:3" x14ac:dyDescent="0.2">
      <c r="A29" s="9"/>
      <c r="B29" s="9"/>
      <c r="C29" s="8"/>
    </row>
    <row r="30" spans="1:3" x14ac:dyDescent="0.2">
      <c r="A30" s="9"/>
      <c r="B30" s="9"/>
      <c r="C30" s="8"/>
    </row>
    <row r="31" spans="1:3" x14ac:dyDescent="0.2">
      <c r="A31" s="9"/>
      <c r="B31" s="9"/>
      <c r="C31" s="8"/>
    </row>
    <row r="32" spans="1:3" x14ac:dyDescent="0.2">
      <c r="A32" s="9"/>
      <c r="B32" s="9"/>
      <c r="C32" s="8"/>
    </row>
    <row r="33" spans="1:3" x14ac:dyDescent="0.2">
      <c r="A33" s="9"/>
      <c r="B33" s="9"/>
      <c r="C33" s="8"/>
    </row>
    <row r="34" spans="1:3" x14ac:dyDescent="0.2">
      <c r="A34" s="9"/>
      <c r="B34" s="9"/>
      <c r="C34" s="8"/>
    </row>
    <row r="35" spans="1:3" x14ac:dyDescent="0.2">
      <c r="A35" s="9"/>
      <c r="B35" s="9"/>
      <c r="C35" s="8"/>
    </row>
    <row r="36" spans="1:3" x14ac:dyDescent="0.2">
      <c r="A36" s="9"/>
      <c r="B36" s="9"/>
      <c r="C36" s="8"/>
    </row>
    <row r="37" spans="1:3" x14ac:dyDescent="0.2">
      <c r="A37" s="9"/>
      <c r="B37" s="9"/>
      <c r="C37" s="8"/>
    </row>
    <row r="38" spans="1:3" x14ac:dyDescent="0.2">
      <c r="A38" s="9"/>
      <c r="B38" s="9"/>
      <c r="C38" s="8"/>
    </row>
    <row r="39" spans="1:3" x14ac:dyDescent="0.2">
      <c r="A39" s="9"/>
      <c r="B39" s="9"/>
      <c r="C39" s="8"/>
    </row>
    <row r="40" spans="1:3" x14ac:dyDescent="0.2">
      <c r="A40" s="9"/>
      <c r="B40" s="9"/>
      <c r="C40" s="8"/>
    </row>
    <row r="41" spans="1:3" x14ac:dyDescent="0.2">
      <c r="A41" s="9"/>
      <c r="B41" s="9"/>
      <c r="C41" s="8"/>
    </row>
    <row r="42" spans="1:3" x14ac:dyDescent="0.2">
      <c r="A42" s="9"/>
      <c r="B42" s="9"/>
      <c r="C42" s="8"/>
    </row>
    <row r="43" spans="1:3" x14ac:dyDescent="0.2">
      <c r="A43" s="9"/>
      <c r="B43" s="9"/>
      <c r="C43" s="8"/>
    </row>
    <row r="44" spans="1:3" x14ac:dyDescent="0.2">
      <c r="A44" s="9"/>
      <c r="B44" s="9"/>
      <c r="C44" s="8"/>
    </row>
    <row r="45" spans="1:3" x14ac:dyDescent="0.2">
      <c r="A45" s="9"/>
      <c r="B45" s="9"/>
      <c r="C45" s="8"/>
    </row>
    <row r="46" spans="1:3" x14ac:dyDescent="0.2">
      <c r="A46" s="9"/>
      <c r="B46" s="9"/>
      <c r="C46" s="8"/>
    </row>
    <row r="47" spans="1:3" x14ac:dyDescent="0.2">
      <c r="A47" s="9"/>
      <c r="B47" s="9"/>
      <c r="C47" s="8"/>
    </row>
    <row r="48" spans="1:3" x14ac:dyDescent="0.2">
      <c r="A48" s="9"/>
      <c r="B48" s="9"/>
      <c r="C48" s="8"/>
    </row>
    <row r="49" spans="1:3" x14ac:dyDescent="0.2">
      <c r="A49" s="9"/>
      <c r="B49" s="9"/>
      <c r="C49" s="8"/>
    </row>
    <row r="50" spans="1:3" x14ac:dyDescent="0.2">
      <c r="A50" s="9"/>
      <c r="B50" s="9"/>
      <c r="C50" s="8"/>
    </row>
    <row r="51" spans="1:3" x14ac:dyDescent="0.2">
      <c r="A51" s="9"/>
      <c r="B51" s="9"/>
      <c r="C51" s="8"/>
    </row>
    <row r="52" spans="1:3" x14ac:dyDescent="0.2">
      <c r="A52" s="9"/>
      <c r="B52" s="9"/>
      <c r="C52" s="8"/>
    </row>
    <row r="53" spans="1:3" x14ac:dyDescent="0.2">
      <c r="A53" s="9"/>
      <c r="B53" s="9"/>
      <c r="C53" s="8"/>
    </row>
    <row r="54" spans="1:3" x14ac:dyDescent="0.2">
      <c r="A54" s="9"/>
      <c r="B54" s="9"/>
      <c r="C54" s="8"/>
    </row>
    <row r="55" spans="1:3" x14ac:dyDescent="0.2">
      <c r="A55" s="9"/>
      <c r="B55" s="9"/>
      <c r="C55" s="8"/>
    </row>
    <row r="56" spans="1:3" x14ac:dyDescent="0.2">
      <c r="A56" s="9"/>
      <c r="B56" s="9"/>
      <c r="C56" s="8"/>
    </row>
    <row r="57" spans="1:3" x14ac:dyDescent="0.2">
      <c r="A57" s="9"/>
      <c r="B57" s="9"/>
      <c r="C57" s="8"/>
    </row>
    <row r="58" spans="1:3" x14ac:dyDescent="0.2">
      <c r="A58" s="9"/>
      <c r="B58" s="9"/>
      <c r="C58" s="8"/>
    </row>
    <row r="59" spans="1:3" x14ac:dyDescent="0.2">
      <c r="A59" s="9"/>
      <c r="B59" s="9"/>
      <c r="C59" s="8"/>
    </row>
    <row r="60" spans="1:3" x14ac:dyDescent="0.2">
      <c r="A60" s="9"/>
      <c r="B60" s="9"/>
      <c r="C60" s="8"/>
    </row>
    <row r="61" spans="1:3" x14ac:dyDescent="0.2">
      <c r="A61" s="9"/>
      <c r="B61" s="9"/>
      <c r="C61" s="8"/>
    </row>
    <row r="62" spans="1:3" x14ac:dyDescent="0.2">
      <c r="A62" s="9"/>
      <c r="B62" s="9"/>
      <c r="C62" s="8"/>
    </row>
    <row r="63" spans="1:3" x14ac:dyDescent="0.2">
      <c r="A63" s="9"/>
      <c r="B63" s="9"/>
      <c r="C63" s="8"/>
    </row>
    <row r="64" spans="1:3" x14ac:dyDescent="0.2">
      <c r="A64" s="9"/>
      <c r="B64" s="9"/>
      <c r="C64" s="8"/>
    </row>
    <row r="65" spans="1:3" x14ac:dyDescent="0.2">
      <c r="A65" s="9"/>
      <c r="B65" s="9"/>
      <c r="C65" s="8"/>
    </row>
    <row r="66" spans="1:3" x14ac:dyDescent="0.2">
      <c r="A66" s="9"/>
      <c r="B66" s="9"/>
      <c r="C66" s="8"/>
    </row>
    <row r="67" spans="1:3" x14ac:dyDescent="0.2">
      <c r="A67" s="9"/>
      <c r="B67" s="9"/>
      <c r="C67" s="8"/>
    </row>
    <row r="68" spans="1:3" x14ac:dyDescent="0.2">
      <c r="A68" s="9"/>
      <c r="B68" s="9"/>
      <c r="C68" s="8"/>
    </row>
    <row r="69" spans="1:3" x14ac:dyDescent="0.2">
      <c r="A69" s="9"/>
      <c r="B69" s="9"/>
      <c r="C69" s="8"/>
    </row>
    <row r="70" spans="1:3" x14ac:dyDescent="0.2">
      <c r="A70" s="9"/>
      <c r="B70" s="9"/>
      <c r="C70" s="8"/>
    </row>
    <row r="71" spans="1:3" x14ac:dyDescent="0.2">
      <c r="A71" s="9"/>
      <c r="B71" s="9"/>
      <c r="C71" s="8"/>
    </row>
    <row r="72" spans="1:3" x14ac:dyDescent="0.2">
      <c r="A72" s="9"/>
      <c r="B72" s="9"/>
      <c r="C72" s="8"/>
    </row>
    <row r="73" spans="1:3" x14ac:dyDescent="0.2">
      <c r="A73" s="9"/>
      <c r="B73" s="9"/>
      <c r="C73" s="8"/>
    </row>
    <row r="74" spans="1:3" x14ac:dyDescent="0.2">
      <c r="A74" s="9"/>
      <c r="B74" s="9"/>
      <c r="C74" s="8"/>
    </row>
    <row r="75" spans="1:3" x14ac:dyDescent="0.2">
      <c r="A75" s="9"/>
      <c r="B75" s="9"/>
      <c r="C75" s="8"/>
    </row>
    <row r="76" spans="1:3" x14ac:dyDescent="0.2">
      <c r="A76" s="9"/>
      <c r="B76" s="9"/>
      <c r="C76" s="8"/>
    </row>
    <row r="77" spans="1:3" x14ac:dyDescent="0.2">
      <c r="A77" s="9"/>
      <c r="B77" s="9"/>
      <c r="C77" s="8"/>
    </row>
    <row r="78" spans="1:3" x14ac:dyDescent="0.2">
      <c r="A78" s="9"/>
      <c r="B78" s="9"/>
      <c r="C78" s="8"/>
    </row>
    <row r="79" spans="1:3" x14ac:dyDescent="0.2">
      <c r="A79" s="9"/>
      <c r="B79" s="9"/>
      <c r="C79" s="8"/>
    </row>
    <row r="80" spans="1:3" x14ac:dyDescent="0.2">
      <c r="A80" s="9"/>
      <c r="B80" s="9"/>
      <c r="C80" s="8"/>
    </row>
    <row r="81" spans="1:3" x14ac:dyDescent="0.2">
      <c r="A81" s="9"/>
      <c r="B81" s="9"/>
      <c r="C81" s="8"/>
    </row>
    <row r="82" spans="1:3" x14ac:dyDescent="0.2">
      <c r="A82" s="9"/>
      <c r="B82" s="9"/>
      <c r="C82" s="8"/>
    </row>
    <row r="83" spans="1:3" x14ac:dyDescent="0.2">
      <c r="A83" s="9"/>
      <c r="B83" s="9"/>
      <c r="C83" s="8"/>
    </row>
    <row r="84" spans="1:3" x14ac:dyDescent="0.2">
      <c r="A84" s="9"/>
      <c r="B84" s="9"/>
      <c r="C84" s="8"/>
    </row>
    <row r="85" spans="1:3" x14ac:dyDescent="0.2">
      <c r="A85" s="9"/>
      <c r="B85" s="9"/>
      <c r="C85" s="8"/>
    </row>
    <row r="86" spans="1:3" x14ac:dyDescent="0.2">
      <c r="A86" s="9"/>
      <c r="B86" s="9"/>
      <c r="C86" s="8"/>
    </row>
    <row r="87" spans="1:3" x14ac:dyDescent="0.2">
      <c r="A87" s="9"/>
      <c r="B87" s="9"/>
      <c r="C87" s="8"/>
    </row>
    <row r="88" spans="1:3" x14ac:dyDescent="0.2">
      <c r="A88" s="9"/>
      <c r="B88" s="9"/>
      <c r="C88" s="8"/>
    </row>
    <row r="89" spans="1:3" x14ac:dyDescent="0.2">
      <c r="A89" s="9"/>
      <c r="B89" s="9"/>
      <c r="C89" s="8"/>
    </row>
    <row r="90" spans="1:3" x14ac:dyDescent="0.2">
      <c r="A90" s="9"/>
      <c r="B90" s="9"/>
      <c r="C90" s="8"/>
    </row>
    <row r="91" spans="1:3" x14ac:dyDescent="0.2">
      <c r="A91" s="9"/>
      <c r="B91" s="9"/>
      <c r="C91" s="8"/>
    </row>
    <row r="92" spans="1:3" x14ac:dyDescent="0.2">
      <c r="A92" s="9"/>
      <c r="B92" s="9"/>
      <c r="C92" s="8"/>
    </row>
    <row r="93" spans="1:3" x14ac:dyDescent="0.2">
      <c r="A93" s="9"/>
      <c r="B93" s="9"/>
      <c r="C93" s="8"/>
    </row>
    <row r="94" spans="1:3" x14ac:dyDescent="0.2">
      <c r="A94" s="9"/>
      <c r="B94" s="9"/>
      <c r="C94" s="8"/>
    </row>
    <row r="95" spans="1:3" x14ac:dyDescent="0.2">
      <c r="A95" s="9"/>
      <c r="B95" s="9"/>
      <c r="C95" s="8"/>
    </row>
    <row r="96" spans="1:3" x14ac:dyDescent="0.2">
      <c r="A96" s="9"/>
      <c r="B96" s="9"/>
      <c r="C96" s="8"/>
    </row>
    <row r="97" spans="1:3" x14ac:dyDescent="0.2">
      <c r="A97" s="9"/>
      <c r="B97" s="9"/>
      <c r="C97" s="8"/>
    </row>
    <row r="98" spans="1:3" x14ac:dyDescent="0.2">
      <c r="A98" s="9"/>
      <c r="B98" s="9"/>
      <c r="C98" s="8"/>
    </row>
    <row r="99" spans="1:3" x14ac:dyDescent="0.2">
      <c r="A99" s="9"/>
      <c r="B99" s="9"/>
      <c r="C99" s="8"/>
    </row>
    <row r="100" spans="1:3" x14ac:dyDescent="0.2">
      <c r="A100" s="9"/>
      <c r="B100" s="9"/>
      <c r="C100" s="8"/>
    </row>
    <row r="101" spans="1:3" x14ac:dyDescent="0.2">
      <c r="A101" s="9"/>
      <c r="B101" s="9"/>
      <c r="C101" s="8"/>
    </row>
    <row r="102" spans="1:3" x14ac:dyDescent="0.2">
      <c r="A102" s="9"/>
      <c r="B102" s="9"/>
      <c r="C102" s="8"/>
    </row>
    <row r="103" spans="1:3" x14ac:dyDescent="0.2">
      <c r="A103" s="9"/>
      <c r="B103" s="9"/>
      <c r="C103" s="8"/>
    </row>
    <row r="104" spans="1:3" x14ac:dyDescent="0.2">
      <c r="A104" s="9"/>
      <c r="B104" s="9"/>
      <c r="C104" s="8"/>
    </row>
    <row r="105" spans="1:3" x14ac:dyDescent="0.2">
      <c r="A105" s="9"/>
      <c r="B105" s="9"/>
      <c r="C105" s="8"/>
    </row>
    <row r="106" spans="1:3" x14ac:dyDescent="0.2">
      <c r="A106" s="9"/>
      <c r="B106" s="9"/>
      <c r="C106" s="8"/>
    </row>
    <row r="107" spans="1:3" x14ac:dyDescent="0.2">
      <c r="A107" s="9"/>
      <c r="B107" s="9"/>
      <c r="C107" s="8"/>
    </row>
    <row r="108" spans="1:3" x14ac:dyDescent="0.2">
      <c r="A108" s="9"/>
      <c r="B108" s="9"/>
      <c r="C108" s="8"/>
    </row>
    <row r="109" spans="1:3" x14ac:dyDescent="0.2">
      <c r="A109" s="9"/>
      <c r="B109" s="9"/>
      <c r="C109" s="8"/>
    </row>
    <row r="110" spans="1:3" x14ac:dyDescent="0.2">
      <c r="A110" s="9"/>
      <c r="B110" s="9"/>
      <c r="C110" s="8"/>
    </row>
    <row r="111" spans="1:3" x14ac:dyDescent="0.2">
      <c r="A111" s="9"/>
      <c r="B111" s="9"/>
      <c r="C111" s="8"/>
    </row>
    <row r="112" spans="1:3" x14ac:dyDescent="0.2">
      <c r="A112" s="9"/>
      <c r="B112" s="9"/>
      <c r="C112" s="8"/>
    </row>
    <row r="113" spans="1:3" x14ac:dyDescent="0.2">
      <c r="A113" s="9"/>
      <c r="B113" s="9"/>
      <c r="C113" s="8"/>
    </row>
    <row r="114" spans="1:3" x14ac:dyDescent="0.2">
      <c r="A114" s="9"/>
      <c r="B114" s="9"/>
      <c r="C114" s="8"/>
    </row>
    <row r="115" spans="1:3" x14ac:dyDescent="0.2">
      <c r="A115" s="9"/>
      <c r="B115" s="9"/>
      <c r="C115" s="8"/>
    </row>
    <row r="116" spans="1:3" x14ac:dyDescent="0.2">
      <c r="A116" s="9"/>
      <c r="B116" s="9"/>
      <c r="C116" s="8"/>
    </row>
    <row r="117" spans="1:3" x14ac:dyDescent="0.2">
      <c r="A117" s="9"/>
      <c r="B117" s="9"/>
      <c r="C117" s="8"/>
    </row>
    <row r="118" spans="1:3" x14ac:dyDescent="0.2">
      <c r="A118" s="9"/>
      <c r="B118" s="9"/>
      <c r="C118" s="8"/>
    </row>
    <row r="119" spans="1:3" x14ac:dyDescent="0.2">
      <c r="A119" s="9"/>
      <c r="B119" s="9"/>
      <c r="C119" s="8"/>
    </row>
    <row r="120" spans="1:3" x14ac:dyDescent="0.2">
      <c r="A120" s="9"/>
      <c r="B120" s="9"/>
      <c r="C120" s="8"/>
    </row>
    <row r="121" spans="1:3" x14ac:dyDescent="0.2">
      <c r="A121" s="9"/>
      <c r="B121" s="9"/>
      <c r="C121" s="8"/>
    </row>
    <row r="122" spans="1:3" x14ac:dyDescent="0.2">
      <c r="A122" s="9"/>
      <c r="B122" s="9"/>
      <c r="C122" s="8"/>
    </row>
    <row r="123" spans="1:3" x14ac:dyDescent="0.2">
      <c r="A123" s="9"/>
      <c r="B123" s="9"/>
      <c r="C123" s="8"/>
    </row>
    <row r="124" spans="1:3" x14ac:dyDescent="0.2">
      <c r="A124" s="9"/>
      <c r="B124" s="9"/>
      <c r="C124" s="8"/>
    </row>
    <row r="125" spans="1:3" x14ac:dyDescent="0.2">
      <c r="A125" s="9"/>
      <c r="B125" s="9"/>
      <c r="C125" s="8"/>
    </row>
    <row r="126" spans="1:3" x14ac:dyDescent="0.2">
      <c r="A126" s="9"/>
      <c r="B126" s="9"/>
      <c r="C126" s="8"/>
    </row>
    <row r="127" spans="1:3" x14ac:dyDescent="0.2">
      <c r="A127" s="9"/>
      <c r="B127" s="9"/>
      <c r="C127" s="8"/>
    </row>
    <row r="128" spans="1:3" x14ac:dyDescent="0.2">
      <c r="A128" s="9"/>
      <c r="B128" s="9"/>
      <c r="C128" s="8"/>
    </row>
    <row r="129" spans="1:3" x14ac:dyDescent="0.2">
      <c r="A129" s="9"/>
      <c r="B129" s="9"/>
      <c r="C129" s="8"/>
    </row>
    <row r="130" spans="1:3" x14ac:dyDescent="0.2">
      <c r="A130" s="9"/>
      <c r="B130" s="9"/>
      <c r="C130" s="8"/>
    </row>
    <row r="131" spans="1:3" x14ac:dyDescent="0.2">
      <c r="A131" s="9"/>
      <c r="B131" s="9"/>
      <c r="C131" s="8"/>
    </row>
    <row r="132" spans="1:3" x14ac:dyDescent="0.2">
      <c r="A132" s="9"/>
      <c r="B132" s="9"/>
      <c r="C132" s="8"/>
    </row>
    <row r="133" spans="1:3" x14ac:dyDescent="0.2">
      <c r="A133" s="9"/>
      <c r="B133" s="9"/>
      <c r="C133" s="8"/>
    </row>
    <row r="134" spans="1:3" x14ac:dyDescent="0.2">
      <c r="A134" s="9"/>
      <c r="B134" s="9"/>
      <c r="C134" s="8"/>
    </row>
    <row r="135" spans="1:3" x14ac:dyDescent="0.2">
      <c r="A135" s="9"/>
      <c r="B135" s="9"/>
      <c r="C135" s="8"/>
    </row>
    <row r="136" spans="1:3" x14ac:dyDescent="0.2">
      <c r="A136" s="9"/>
      <c r="B136" s="9"/>
      <c r="C136" s="8"/>
    </row>
    <row r="137" spans="1:3" x14ac:dyDescent="0.2">
      <c r="A137" s="9"/>
      <c r="B137" s="9"/>
      <c r="C137" s="8"/>
    </row>
    <row r="138" spans="1:3" x14ac:dyDescent="0.2">
      <c r="A138" s="9"/>
      <c r="B138" s="9"/>
      <c r="C138" s="8"/>
    </row>
    <row r="139" spans="1:3" x14ac:dyDescent="0.2">
      <c r="A139" s="9"/>
      <c r="B139" s="9"/>
      <c r="C139" s="8"/>
    </row>
    <row r="140" spans="1:3" x14ac:dyDescent="0.2">
      <c r="A140" s="9"/>
      <c r="B140" s="9"/>
      <c r="C140" s="8"/>
    </row>
    <row r="141" spans="1:3" x14ac:dyDescent="0.2">
      <c r="A141" s="9"/>
      <c r="B141" s="9"/>
      <c r="C141" s="8"/>
    </row>
    <row r="142" spans="1:3" x14ac:dyDescent="0.2">
      <c r="A142" s="9"/>
      <c r="B142" s="9"/>
      <c r="C142" s="8"/>
    </row>
    <row r="143" spans="1:3" x14ac:dyDescent="0.2">
      <c r="A143" s="9"/>
      <c r="B143" s="9"/>
      <c r="C143" s="8"/>
    </row>
    <row r="144" spans="1:3" x14ac:dyDescent="0.2">
      <c r="A144" s="9"/>
      <c r="B144" s="9"/>
      <c r="C144" s="8"/>
    </row>
    <row r="145" spans="1:3" x14ac:dyDescent="0.2">
      <c r="A145" s="9"/>
      <c r="B145" s="9"/>
      <c r="C145" s="8"/>
    </row>
    <row r="146" spans="1:3" x14ac:dyDescent="0.2">
      <c r="A146" s="9"/>
      <c r="B146" s="9"/>
      <c r="C146" s="8"/>
    </row>
    <row r="147" spans="1:3" x14ac:dyDescent="0.2">
      <c r="A147" s="9"/>
      <c r="B147" s="9"/>
      <c r="C147" s="8"/>
    </row>
    <row r="148" spans="1:3" x14ac:dyDescent="0.2">
      <c r="A148" s="9"/>
      <c r="B148" s="9"/>
      <c r="C148" s="8"/>
    </row>
    <row r="149" spans="1:3" x14ac:dyDescent="0.2">
      <c r="A149" s="9"/>
      <c r="B149" s="9"/>
      <c r="C149" s="8"/>
    </row>
    <row r="150" spans="1:3" x14ac:dyDescent="0.2">
      <c r="A150" s="9"/>
      <c r="B150" s="9"/>
      <c r="C150" s="8"/>
    </row>
    <row r="151" spans="1:3" x14ac:dyDescent="0.2">
      <c r="A151" s="9"/>
      <c r="B151" s="9"/>
      <c r="C151" s="8"/>
    </row>
    <row r="152" spans="1:3" x14ac:dyDescent="0.2">
      <c r="A152" s="9"/>
      <c r="B152" s="9"/>
      <c r="C152" s="8"/>
    </row>
    <row r="153" spans="1:3" x14ac:dyDescent="0.2">
      <c r="A153" s="9"/>
      <c r="B153" s="9"/>
      <c r="C153" s="8"/>
    </row>
    <row r="154" spans="1:3" x14ac:dyDescent="0.2">
      <c r="A154" s="9"/>
      <c r="B154" s="9"/>
      <c r="C154" s="8"/>
    </row>
    <row r="155" spans="1:3" x14ac:dyDescent="0.2">
      <c r="A155" s="9"/>
      <c r="B155" s="9"/>
      <c r="C155" s="8"/>
    </row>
    <row r="156" spans="1:3" x14ac:dyDescent="0.2">
      <c r="A156" s="9"/>
      <c r="B156" s="9"/>
      <c r="C156" s="8"/>
    </row>
    <row r="157" spans="1:3" x14ac:dyDescent="0.2">
      <c r="A157" s="9"/>
      <c r="B157" s="9"/>
      <c r="C157" s="8"/>
    </row>
    <row r="158" spans="1:3" x14ac:dyDescent="0.2">
      <c r="A158" s="9"/>
      <c r="B158" s="9"/>
      <c r="C158" s="8"/>
    </row>
    <row r="159" spans="1:3" x14ac:dyDescent="0.2">
      <c r="A159" s="9"/>
      <c r="B159" s="9"/>
      <c r="C159" s="8"/>
    </row>
    <row r="160" spans="1:3" x14ac:dyDescent="0.2">
      <c r="A160" s="9"/>
      <c r="B160" s="9"/>
      <c r="C160" s="8"/>
    </row>
    <row r="161" spans="1:3" x14ac:dyDescent="0.2">
      <c r="A161" s="9"/>
      <c r="B161" s="9"/>
      <c r="C161" s="8"/>
    </row>
    <row r="162" spans="1:3" x14ac:dyDescent="0.2">
      <c r="A162" s="9"/>
      <c r="B162" s="9"/>
      <c r="C162" s="8"/>
    </row>
    <row r="163" spans="1:3" x14ac:dyDescent="0.2">
      <c r="A163" s="9"/>
      <c r="B163" s="9"/>
      <c r="C163" s="8"/>
    </row>
    <row r="164" spans="1:3" x14ac:dyDescent="0.2">
      <c r="A164" s="9"/>
      <c r="B164" s="9"/>
      <c r="C164" s="8"/>
    </row>
    <row r="165" spans="1:3" x14ac:dyDescent="0.2">
      <c r="A165" s="9"/>
      <c r="B165" s="9"/>
      <c r="C165" s="8"/>
    </row>
    <row r="166" spans="1:3" x14ac:dyDescent="0.2">
      <c r="A166" s="9"/>
      <c r="B166" s="9"/>
      <c r="C166" s="8"/>
    </row>
    <row r="167" spans="1:3" x14ac:dyDescent="0.2">
      <c r="A167" s="9"/>
      <c r="B167" s="9"/>
      <c r="C167" s="8"/>
    </row>
    <row r="168" spans="1:3" x14ac:dyDescent="0.2">
      <c r="A168" s="9"/>
      <c r="B168" s="9"/>
      <c r="C168" s="8"/>
    </row>
    <row r="169" spans="1:3" x14ac:dyDescent="0.2">
      <c r="A169" s="9"/>
      <c r="B169" s="9"/>
      <c r="C169" s="8"/>
    </row>
    <row r="170" spans="1:3" x14ac:dyDescent="0.2">
      <c r="A170" s="9"/>
      <c r="B170" s="9"/>
      <c r="C170" s="8"/>
    </row>
    <row r="171" spans="1:3" x14ac:dyDescent="0.2">
      <c r="A171" s="9"/>
      <c r="B171" s="9"/>
      <c r="C171" s="8"/>
    </row>
    <row r="172" spans="1:3" x14ac:dyDescent="0.2">
      <c r="A172" s="9"/>
      <c r="B172" s="9"/>
      <c r="C172" s="8"/>
    </row>
    <row r="173" spans="1:3" x14ac:dyDescent="0.2">
      <c r="A173" s="9"/>
      <c r="B173" s="9"/>
      <c r="C173" s="8"/>
    </row>
    <row r="174" spans="1:3" x14ac:dyDescent="0.2">
      <c r="A174" s="9"/>
      <c r="B174" s="9"/>
      <c r="C174" s="8"/>
    </row>
    <row r="175" spans="1:3" x14ac:dyDescent="0.2">
      <c r="A175" s="9"/>
      <c r="B175" s="9"/>
      <c r="C175" s="8"/>
    </row>
    <row r="176" spans="1:3" x14ac:dyDescent="0.2">
      <c r="A176" s="9"/>
      <c r="B176" s="9"/>
      <c r="C176" s="8"/>
    </row>
    <row r="177" spans="1:3" x14ac:dyDescent="0.2">
      <c r="A177" s="9"/>
      <c r="B177" s="9"/>
      <c r="C177" s="8"/>
    </row>
    <row r="178" spans="1:3" x14ac:dyDescent="0.2">
      <c r="A178" s="9"/>
      <c r="B178" s="9"/>
      <c r="C178" s="8"/>
    </row>
    <row r="179" spans="1:3" x14ac:dyDescent="0.2">
      <c r="A179" s="9"/>
      <c r="B179" s="9"/>
      <c r="C179" s="8"/>
    </row>
    <row r="180" spans="1:3" x14ac:dyDescent="0.2">
      <c r="A180" s="9"/>
      <c r="B180" s="9"/>
      <c r="C180" s="8"/>
    </row>
    <row r="181" spans="1:3" x14ac:dyDescent="0.2">
      <c r="A181" s="9"/>
      <c r="B181" s="9"/>
      <c r="C181" s="8"/>
    </row>
    <row r="182" spans="1:3" x14ac:dyDescent="0.2">
      <c r="A182" s="9"/>
      <c r="B182" s="9"/>
      <c r="C182" s="8"/>
    </row>
    <row r="183" spans="1:3" x14ac:dyDescent="0.2">
      <c r="A183" s="9"/>
      <c r="B183" s="9"/>
      <c r="C183" s="8"/>
    </row>
    <row r="184" spans="1:3" x14ac:dyDescent="0.2">
      <c r="A184" s="9"/>
      <c r="B184" s="9"/>
      <c r="C184" s="8"/>
    </row>
    <row r="185" spans="1:3" x14ac:dyDescent="0.2">
      <c r="A185" s="9"/>
      <c r="B185" s="9"/>
      <c r="C185" s="8"/>
    </row>
    <row r="186" spans="1:3" x14ac:dyDescent="0.2">
      <c r="A186" s="9"/>
      <c r="B186" s="9"/>
      <c r="C186" s="8"/>
    </row>
    <row r="187" spans="1:3" x14ac:dyDescent="0.2">
      <c r="A187" s="9"/>
      <c r="B187" s="9"/>
      <c r="C187" s="8"/>
    </row>
    <row r="188" spans="1:3" x14ac:dyDescent="0.2">
      <c r="A188" s="9"/>
      <c r="B188" s="9"/>
      <c r="C188" s="8"/>
    </row>
    <row r="189" spans="1:3" x14ac:dyDescent="0.2">
      <c r="A189" s="9"/>
      <c r="B189" s="9"/>
      <c r="C189" s="8"/>
    </row>
    <row r="190" spans="1:3" x14ac:dyDescent="0.2">
      <c r="A190" s="9"/>
      <c r="B190" s="9"/>
      <c r="C190" s="8"/>
    </row>
    <row r="191" spans="1:3" x14ac:dyDescent="0.2">
      <c r="A191" s="9"/>
      <c r="B191" s="9"/>
      <c r="C191" s="8"/>
    </row>
    <row r="192" spans="1:3" x14ac:dyDescent="0.2">
      <c r="A192" s="9"/>
      <c r="B192" s="9"/>
      <c r="C192" s="8"/>
    </row>
    <row r="193" spans="1:3" x14ac:dyDescent="0.2">
      <c r="A193" s="9"/>
      <c r="B193" s="9"/>
      <c r="C193" s="8"/>
    </row>
    <row r="194" spans="1:3" x14ac:dyDescent="0.2">
      <c r="A194" s="9"/>
      <c r="B194" s="9"/>
      <c r="C194" s="8"/>
    </row>
    <row r="195" spans="1:3" x14ac:dyDescent="0.2">
      <c r="A195" s="9"/>
      <c r="B195" s="9"/>
      <c r="C195" s="8"/>
    </row>
    <row r="196" spans="1:3" x14ac:dyDescent="0.2">
      <c r="A196" s="9"/>
      <c r="B196" s="9"/>
      <c r="C196" s="8"/>
    </row>
    <row r="197" spans="1:3" x14ac:dyDescent="0.2">
      <c r="A197" s="9"/>
      <c r="B197" s="9"/>
      <c r="C197" s="8"/>
    </row>
    <row r="198" spans="1:3" x14ac:dyDescent="0.2">
      <c r="A198" s="9"/>
      <c r="B198" s="9"/>
      <c r="C198" s="8"/>
    </row>
    <row r="199" spans="1:3" x14ac:dyDescent="0.2">
      <c r="A199" s="9"/>
      <c r="B199" s="9"/>
      <c r="C199" s="8"/>
    </row>
    <row r="200" spans="1:3" x14ac:dyDescent="0.2">
      <c r="A200" s="9"/>
      <c r="B200" s="9"/>
      <c r="C200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C83D-38CB-D742-98EB-22B1EF480548}">
  <dimension ref="A2:I32"/>
  <sheetViews>
    <sheetView zoomScale="140" zoomScaleNormal="140" workbookViewId="0">
      <selection activeCell="A9" sqref="A9:B31"/>
    </sheetView>
  </sheetViews>
  <sheetFormatPr baseColWidth="10" defaultRowHeight="15" x14ac:dyDescent="0.2"/>
  <cols>
    <col min="1" max="1" width="27.5" bestFit="1" customWidth="1"/>
    <col min="2" max="2" width="13.33203125" bestFit="1" customWidth="1"/>
    <col min="3" max="3" width="4.33203125" bestFit="1" customWidth="1"/>
    <col min="4" max="4" width="3.83203125" bestFit="1" customWidth="1"/>
    <col min="5" max="5" width="11" bestFit="1" customWidth="1"/>
    <col min="6" max="6" width="10.83203125" bestFit="1" customWidth="1"/>
    <col min="7" max="7" width="7.1640625" bestFit="1" customWidth="1"/>
    <col min="8" max="8" width="27.5" bestFit="1" customWidth="1"/>
    <col min="9" max="9" width="19" bestFit="1" customWidth="1"/>
    <col min="10" max="10" width="18.6640625" bestFit="1" customWidth="1"/>
    <col min="11" max="11" width="19.5" bestFit="1" customWidth="1"/>
    <col min="12" max="12" width="17.6640625" bestFit="1" customWidth="1"/>
    <col min="13" max="13" width="19.6640625" bestFit="1" customWidth="1"/>
  </cols>
  <sheetData>
    <row r="2" spans="1:9" x14ac:dyDescent="0.2">
      <c r="A2" s="29" t="s">
        <v>4</v>
      </c>
      <c r="B2" s="25" t="s">
        <v>151</v>
      </c>
    </row>
    <row r="3" spans="1:9" x14ac:dyDescent="0.2">
      <c r="A3" s="29" t="s">
        <v>148</v>
      </c>
      <c r="B3" s="25" t="s">
        <v>151</v>
      </c>
      <c r="H3" s="29" t="s">
        <v>4</v>
      </c>
      <c r="I3" s="25" t="s">
        <v>151</v>
      </c>
    </row>
    <row r="4" spans="1:9" x14ac:dyDescent="0.2">
      <c r="A4" s="29" t="s">
        <v>3</v>
      </c>
      <c r="B4" s="25" t="s">
        <v>151</v>
      </c>
      <c r="H4" s="29" t="s">
        <v>148</v>
      </c>
      <c r="I4" s="25" t="s">
        <v>151</v>
      </c>
    </row>
    <row r="5" spans="1:9" x14ac:dyDescent="0.2">
      <c r="H5" s="29" t="s">
        <v>2</v>
      </c>
      <c r="I5" s="25" t="s">
        <v>153</v>
      </c>
    </row>
    <row r="6" spans="1:9" x14ac:dyDescent="0.2">
      <c r="A6" s="24" t="s">
        <v>150</v>
      </c>
      <c r="B6" s="26" t="s">
        <v>154</v>
      </c>
    </row>
    <row r="7" spans="1:9" x14ac:dyDescent="0.2">
      <c r="A7" s="27" t="s">
        <v>12</v>
      </c>
      <c r="B7" s="26">
        <v>1</v>
      </c>
      <c r="H7" s="24" t="s">
        <v>150</v>
      </c>
      <c r="I7" s="26" t="s">
        <v>154</v>
      </c>
    </row>
    <row r="8" spans="1:9" x14ac:dyDescent="0.2">
      <c r="A8" s="27" t="s">
        <v>6</v>
      </c>
      <c r="B8" s="26">
        <v>93</v>
      </c>
      <c r="H8" s="27" t="s">
        <v>92</v>
      </c>
      <c r="I8" s="26">
        <v>2</v>
      </c>
    </row>
    <row r="9" spans="1:9" x14ac:dyDescent="0.2">
      <c r="A9" s="32" t="s">
        <v>90</v>
      </c>
      <c r="B9" s="31">
        <v>1</v>
      </c>
      <c r="H9" s="27" t="s">
        <v>12</v>
      </c>
      <c r="I9" s="26">
        <v>8</v>
      </c>
    </row>
    <row r="10" spans="1:9" x14ac:dyDescent="0.2">
      <c r="A10" s="32" t="s">
        <v>109</v>
      </c>
      <c r="B10" s="31">
        <v>1</v>
      </c>
      <c r="H10" s="27" t="s">
        <v>6</v>
      </c>
      <c r="I10" s="26">
        <v>84</v>
      </c>
    </row>
    <row r="11" spans="1:9" x14ac:dyDescent="0.2">
      <c r="A11" s="32" t="s">
        <v>115</v>
      </c>
      <c r="B11" s="31">
        <v>3</v>
      </c>
      <c r="H11" s="32" t="s">
        <v>90</v>
      </c>
      <c r="I11" s="31">
        <v>1</v>
      </c>
    </row>
    <row r="12" spans="1:9" x14ac:dyDescent="0.2">
      <c r="A12" s="32" t="s">
        <v>96</v>
      </c>
      <c r="B12" s="31">
        <v>1</v>
      </c>
      <c r="H12" s="32" t="s">
        <v>115</v>
      </c>
      <c r="I12" s="31">
        <v>3</v>
      </c>
    </row>
    <row r="13" spans="1:9" x14ac:dyDescent="0.2">
      <c r="A13" s="32" t="s">
        <v>116</v>
      </c>
      <c r="B13" s="31">
        <v>1</v>
      </c>
      <c r="H13" s="32" t="s">
        <v>96</v>
      </c>
      <c r="I13" s="31">
        <v>1</v>
      </c>
    </row>
    <row r="14" spans="1:9" x14ac:dyDescent="0.2">
      <c r="A14" s="32" t="s">
        <v>141</v>
      </c>
      <c r="B14" s="31">
        <v>1</v>
      </c>
      <c r="H14" s="32" t="s">
        <v>116</v>
      </c>
      <c r="I14" s="31">
        <v>1</v>
      </c>
    </row>
    <row r="15" spans="1:9" x14ac:dyDescent="0.2">
      <c r="A15" s="32" t="s">
        <v>121</v>
      </c>
      <c r="B15" s="31">
        <v>1</v>
      </c>
      <c r="H15" s="32" t="s">
        <v>121</v>
      </c>
      <c r="I15" s="31">
        <v>1</v>
      </c>
    </row>
    <row r="16" spans="1:9" x14ac:dyDescent="0.2">
      <c r="A16" s="32" t="s">
        <v>114</v>
      </c>
      <c r="B16" s="31">
        <v>1</v>
      </c>
      <c r="H16" s="32" t="s">
        <v>114</v>
      </c>
      <c r="I16" s="31">
        <v>1</v>
      </c>
    </row>
    <row r="17" spans="1:9" x14ac:dyDescent="0.2">
      <c r="A17" s="32" t="s">
        <v>117</v>
      </c>
      <c r="B17" s="31">
        <v>4</v>
      </c>
      <c r="H17" s="32" t="s">
        <v>117</v>
      </c>
      <c r="I17" s="31">
        <v>3</v>
      </c>
    </row>
    <row r="18" spans="1:9" x14ac:dyDescent="0.2">
      <c r="A18" s="32" t="s">
        <v>105</v>
      </c>
      <c r="B18" s="31">
        <v>5</v>
      </c>
      <c r="H18" s="32" t="s">
        <v>105</v>
      </c>
      <c r="I18" s="31">
        <v>5</v>
      </c>
    </row>
    <row r="19" spans="1:9" x14ac:dyDescent="0.2">
      <c r="A19" s="32" t="s">
        <v>111</v>
      </c>
      <c r="B19" s="31">
        <v>2</v>
      </c>
      <c r="H19" s="32" t="s">
        <v>111</v>
      </c>
      <c r="I19" s="31">
        <v>2</v>
      </c>
    </row>
    <row r="20" spans="1:9" x14ac:dyDescent="0.2">
      <c r="A20" s="32" t="s">
        <v>122</v>
      </c>
      <c r="B20" s="31">
        <v>1</v>
      </c>
      <c r="H20" s="32" t="s">
        <v>122</v>
      </c>
      <c r="I20" s="31">
        <v>1</v>
      </c>
    </row>
    <row r="21" spans="1:9" x14ac:dyDescent="0.2">
      <c r="A21" s="32" t="s">
        <v>108</v>
      </c>
      <c r="B21" s="31">
        <v>1</v>
      </c>
      <c r="H21" s="32" t="s">
        <v>138</v>
      </c>
      <c r="I21" s="31">
        <v>4</v>
      </c>
    </row>
    <row r="22" spans="1:9" x14ac:dyDescent="0.2">
      <c r="A22" s="32" t="s">
        <v>138</v>
      </c>
      <c r="B22" s="31">
        <v>4</v>
      </c>
      <c r="H22" s="32" t="s">
        <v>113</v>
      </c>
      <c r="I22" s="31">
        <v>3</v>
      </c>
    </row>
    <row r="23" spans="1:9" x14ac:dyDescent="0.2">
      <c r="A23" s="32" t="s">
        <v>113</v>
      </c>
      <c r="B23" s="31">
        <v>3</v>
      </c>
      <c r="H23" s="32" t="s">
        <v>104</v>
      </c>
      <c r="I23" s="31">
        <v>24</v>
      </c>
    </row>
    <row r="24" spans="1:9" x14ac:dyDescent="0.2">
      <c r="A24" s="32" t="s">
        <v>104</v>
      </c>
      <c r="B24" s="31">
        <v>24</v>
      </c>
      <c r="H24" s="32" t="s">
        <v>118</v>
      </c>
      <c r="I24" s="31">
        <v>14</v>
      </c>
    </row>
    <row r="25" spans="1:9" x14ac:dyDescent="0.2">
      <c r="A25" s="32" t="s">
        <v>118</v>
      </c>
      <c r="B25" s="31">
        <v>18</v>
      </c>
      <c r="H25" s="32" t="s">
        <v>132</v>
      </c>
      <c r="I25" s="31">
        <v>8</v>
      </c>
    </row>
    <row r="26" spans="1:9" x14ac:dyDescent="0.2">
      <c r="A26" s="32" t="s">
        <v>132</v>
      </c>
      <c r="B26" s="31">
        <v>9</v>
      </c>
      <c r="H26" s="32" t="s">
        <v>120</v>
      </c>
      <c r="I26" s="31">
        <v>2</v>
      </c>
    </row>
    <row r="27" spans="1:9" x14ac:dyDescent="0.2">
      <c r="A27" s="32" t="s">
        <v>120</v>
      </c>
      <c r="B27" s="31">
        <v>2</v>
      </c>
      <c r="H27" s="32" t="s">
        <v>112</v>
      </c>
      <c r="I27" s="31">
        <v>3</v>
      </c>
    </row>
    <row r="28" spans="1:9" x14ac:dyDescent="0.2">
      <c r="A28" s="32" t="s">
        <v>112</v>
      </c>
      <c r="B28" s="31">
        <v>3</v>
      </c>
      <c r="H28" s="32" t="s">
        <v>119</v>
      </c>
      <c r="I28" s="31">
        <v>1</v>
      </c>
    </row>
    <row r="29" spans="1:9" x14ac:dyDescent="0.2">
      <c r="A29" s="32" t="s">
        <v>119</v>
      </c>
      <c r="B29" s="31">
        <v>1</v>
      </c>
      <c r="H29" s="32" t="s">
        <v>152</v>
      </c>
      <c r="I29" s="31">
        <v>1</v>
      </c>
    </row>
    <row r="30" spans="1:9" x14ac:dyDescent="0.2">
      <c r="A30" s="32" t="s">
        <v>152</v>
      </c>
      <c r="B30" s="31">
        <v>1</v>
      </c>
      <c r="H30" s="32" t="s">
        <v>157</v>
      </c>
      <c r="I30" s="31">
        <v>5</v>
      </c>
    </row>
    <row r="31" spans="1:9" x14ac:dyDescent="0.2">
      <c r="A31" s="32" t="s">
        <v>157</v>
      </c>
      <c r="B31" s="31">
        <v>5</v>
      </c>
      <c r="H31" s="28" t="s">
        <v>149</v>
      </c>
      <c r="I31" s="25">
        <v>94</v>
      </c>
    </row>
    <row r="32" spans="1:9" x14ac:dyDescent="0.2">
      <c r="A32" s="28" t="s">
        <v>149</v>
      </c>
      <c r="B32" s="25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"/>
  <sheetViews>
    <sheetView topLeftCell="A31" zoomScale="150" workbookViewId="0">
      <selection activeCell="C42" sqref="C42"/>
    </sheetView>
  </sheetViews>
  <sheetFormatPr baseColWidth="10" defaultColWidth="8.83203125" defaultRowHeight="15" x14ac:dyDescent="0.2"/>
  <cols>
    <col min="1" max="1" width="22.83203125" customWidth="1"/>
    <col min="5" max="5" width="31.1640625" customWidth="1"/>
  </cols>
  <sheetData>
    <row r="1" spans="1:6" x14ac:dyDescent="0.2">
      <c r="A1" s="10" t="s">
        <v>83</v>
      </c>
      <c r="B1" s="3" t="s">
        <v>2</v>
      </c>
      <c r="C1" s="3" t="s">
        <v>3</v>
      </c>
      <c r="D1" s="3" t="s">
        <v>4</v>
      </c>
      <c r="E1" s="23" t="s">
        <v>147</v>
      </c>
      <c r="F1" s="23" t="s">
        <v>148</v>
      </c>
    </row>
    <row r="2" spans="1:6" x14ac:dyDescent="0.2">
      <c r="A2" s="2" t="s">
        <v>5</v>
      </c>
      <c r="B2" s="4" t="s">
        <v>6</v>
      </c>
      <c r="C2" s="4" t="s">
        <v>6</v>
      </c>
      <c r="D2" s="4" t="s">
        <v>6</v>
      </c>
      <c r="E2" s="14" t="s">
        <v>104</v>
      </c>
      <c r="F2" s="22" t="s">
        <v>146</v>
      </c>
    </row>
    <row r="3" spans="1:6" x14ac:dyDescent="0.2">
      <c r="A3" s="2" t="s">
        <v>7</v>
      </c>
      <c r="B3" s="4" t="s">
        <v>6</v>
      </c>
      <c r="C3" s="4" t="s">
        <v>6</v>
      </c>
      <c r="D3" s="4" t="s">
        <v>6</v>
      </c>
      <c r="E3" s="14" t="s">
        <v>104</v>
      </c>
      <c r="F3" s="22" t="s">
        <v>146</v>
      </c>
    </row>
    <row r="4" spans="1:6" x14ac:dyDescent="0.2">
      <c r="A4" s="2" t="s">
        <v>8</v>
      </c>
      <c r="B4" s="4" t="s">
        <v>6</v>
      </c>
      <c r="C4" s="4" t="s">
        <v>6</v>
      </c>
      <c r="D4" s="4" t="s">
        <v>6</v>
      </c>
      <c r="E4" s="14" t="s">
        <v>104</v>
      </c>
      <c r="F4" s="22" t="s">
        <v>146</v>
      </c>
    </row>
    <row r="5" spans="1:6" x14ac:dyDescent="0.2">
      <c r="A5" s="2" t="s">
        <v>9</v>
      </c>
      <c r="B5" s="4" t="s">
        <v>6</v>
      </c>
      <c r="C5" s="4" t="s">
        <v>6</v>
      </c>
      <c r="D5" s="4" t="s">
        <v>6</v>
      </c>
      <c r="E5" s="12" t="s">
        <v>104</v>
      </c>
      <c r="F5" s="22" t="s">
        <v>146</v>
      </c>
    </row>
    <row r="6" spans="1:6" x14ac:dyDescent="0.2">
      <c r="A6" s="2" t="s">
        <v>10</v>
      </c>
      <c r="B6" s="4" t="s">
        <v>6</v>
      </c>
      <c r="C6" s="4" t="s">
        <v>6</v>
      </c>
      <c r="D6" s="4" t="s">
        <v>6</v>
      </c>
      <c r="E6" s="12" t="s">
        <v>104</v>
      </c>
      <c r="F6" s="22" t="s">
        <v>146</v>
      </c>
    </row>
    <row r="7" spans="1:6" x14ac:dyDescent="0.2">
      <c r="A7" s="2" t="s">
        <v>11</v>
      </c>
      <c r="B7" s="4" t="s">
        <v>6</v>
      </c>
      <c r="C7" s="4" t="s">
        <v>6</v>
      </c>
      <c r="D7" s="5" t="s">
        <v>12</v>
      </c>
      <c r="E7" s="12" t="s">
        <v>112</v>
      </c>
      <c r="F7" s="22" t="s">
        <v>146</v>
      </c>
    </row>
    <row r="8" spans="1:6" x14ac:dyDescent="0.2">
      <c r="A8" s="2" t="s">
        <v>13</v>
      </c>
      <c r="B8" s="4" t="s">
        <v>6</v>
      </c>
      <c r="C8" s="4" t="s">
        <v>6</v>
      </c>
      <c r="D8" s="5" t="s">
        <v>12</v>
      </c>
      <c r="E8" s="12" t="s">
        <v>112</v>
      </c>
      <c r="F8" s="22" t="s">
        <v>146</v>
      </c>
    </row>
    <row r="9" spans="1:6" x14ac:dyDescent="0.2">
      <c r="A9" s="2" t="s">
        <v>14</v>
      </c>
      <c r="B9" s="4" t="s">
        <v>6</v>
      </c>
      <c r="C9" s="4" t="s">
        <v>6</v>
      </c>
      <c r="D9" s="4" t="s">
        <v>6</v>
      </c>
      <c r="E9" s="12" t="s">
        <v>104</v>
      </c>
      <c r="F9" s="22" t="s">
        <v>146</v>
      </c>
    </row>
    <row r="10" spans="1:6" x14ac:dyDescent="0.2">
      <c r="A10" s="2" t="s">
        <v>15</v>
      </c>
      <c r="B10" s="4" t="s">
        <v>6</v>
      </c>
      <c r="C10" s="4" t="s">
        <v>6</v>
      </c>
      <c r="D10" s="4" t="s">
        <v>6</v>
      </c>
      <c r="E10" s="12" t="s">
        <v>113</v>
      </c>
      <c r="F10" s="22" t="s">
        <v>146</v>
      </c>
    </row>
    <row r="11" spans="1:6" x14ac:dyDescent="0.2">
      <c r="A11" s="2" t="s">
        <v>16</v>
      </c>
      <c r="B11" s="4" t="s">
        <v>6</v>
      </c>
      <c r="C11" s="4" t="s">
        <v>6</v>
      </c>
      <c r="D11" s="5" t="s">
        <v>12</v>
      </c>
      <c r="E11" s="12" t="s">
        <v>132</v>
      </c>
      <c r="F11" s="22" t="s">
        <v>146</v>
      </c>
    </row>
    <row r="12" spans="1:6" x14ac:dyDescent="0.2">
      <c r="A12" s="2" t="s">
        <v>17</v>
      </c>
      <c r="B12" s="4" t="s">
        <v>6</v>
      </c>
      <c r="C12" s="4" t="s">
        <v>6</v>
      </c>
      <c r="D12" s="4" t="s">
        <v>6</v>
      </c>
      <c r="E12" s="12" t="s">
        <v>104</v>
      </c>
      <c r="F12" s="22" t="s">
        <v>146</v>
      </c>
    </row>
    <row r="13" spans="1:6" x14ac:dyDescent="0.2">
      <c r="A13" s="2" t="s">
        <v>18</v>
      </c>
      <c r="B13" s="4" t="s">
        <v>6</v>
      </c>
      <c r="C13" s="4" t="s">
        <v>6</v>
      </c>
      <c r="D13" s="4" t="s">
        <v>6</v>
      </c>
      <c r="E13" s="12" t="s">
        <v>104</v>
      </c>
      <c r="F13" s="22" t="s">
        <v>146</v>
      </c>
    </row>
    <row r="14" spans="1:6" x14ac:dyDescent="0.2">
      <c r="A14" s="2" t="s">
        <v>19</v>
      </c>
      <c r="B14" s="4" t="s">
        <v>6</v>
      </c>
      <c r="C14" s="4" t="s">
        <v>6</v>
      </c>
      <c r="D14" s="4" t="s">
        <v>6</v>
      </c>
      <c r="E14" s="12" t="s">
        <v>104</v>
      </c>
      <c r="F14" s="22" t="s">
        <v>146</v>
      </c>
    </row>
    <row r="15" spans="1:6" x14ac:dyDescent="0.2">
      <c r="A15" s="2" t="s">
        <v>20</v>
      </c>
      <c r="B15" s="4" t="s">
        <v>6</v>
      </c>
      <c r="C15" s="4" t="s">
        <v>6</v>
      </c>
      <c r="D15" s="4" t="s">
        <v>6</v>
      </c>
      <c r="E15" s="12" t="s">
        <v>104</v>
      </c>
      <c r="F15" s="22" t="s">
        <v>146</v>
      </c>
    </row>
    <row r="16" spans="1:6" x14ac:dyDescent="0.2">
      <c r="A16" s="2" t="s">
        <v>21</v>
      </c>
      <c r="B16" s="4" t="s">
        <v>6</v>
      </c>
      <c r="C16" s="4" t="s">
        <v>6</v>
      </c>
      <c r="D16" s="5" t="s">
        <v>12</v>
      </c>
      <c r="E16" s="12" t="s">
        <v>114</v>
      </c>
      <c r="F16" s="22" t="s">
        <v>146</v>
      </c>
    </row>
    <row r="17" spans="1:6" x14ac:dyDescent="0.2">
      <c r="A17" s="2" t="s">
        <v>22</v>
      </c>
      <c r="B17" s="4" t="s">
        <v>6</v>
      </c>
      <c r="C17" s="4" t="s">
        <v>6</v>
      </c>
      <c r="D17" s="5" t="s">
        <v>12</v>
      </c>
      <c r="E17" s="12" t="s">
        <v>115</v>
      </c>
      <c r="F17" s="22" t="s">
        <v>146</v>
      </c>
    </row>
    <row r="18" spans="1:6" x14ac:dyDescent="0.2">
      <c r="A18" s="2" t="s">
        <v>23</v>
      </c>
      <c r="B18" s="4" t="s">
        <v>6</v>
      </c>
      <c r="C18" s="4" t="s">
        <v>6</v>
      </c>
      <c r="D18" s="5" t="s">
        <v>12</v>
      </c>
      <c r="E18" s="12" t="s">
        <v>105</v>
      </c>
      <c r="F18" s="22" t="s">
        <v>146</v>
      </c>
    </row>
    <row r="19" spans="1:6" x14ac:dyDescent="0.2">
      <c r="A19" s="2" t="s">
        <v>24</v>
      </c>
      <c r="B19" s="4" t="s">
        <v>6</v>
      </c>
      <c r="C19" s="4" t="s">
        <v>6</v>
      </c>
      <c r="D19" s="5" t="s">
        <v>12</v>
      </c>
      <c r="E19" s="12" t="s">
        <v>116</v>
      </c>
      <c r="F19" s="22" t="s">
        <v>146</v>
      </c>
    </row>
    <row r="20" spans="1:6" x14ac:dyDescent="0.2">
      <c r="A20" s="2" t="s">
        <v>25</v>
      </c>
      <c r="B20" s="4" t="s">
        <v>6</v>
      </c>
      <c r="C20" s="4" t="s">
        <v>6</v>
      </c>
      <c r="D20" s="5" t="s">
        <v>12</v>
      </c>
      <c r="E20" s="12" t="s">
        <v>117</v>
      </c>
      <c r="F20" s="22" t="s">
        <v>146</v>
      </c>
    </row>
    <row r="21" spans="1:6" x14ac:dyDescent="0.2">
      <c r="A21" s="2" t="s">
        <v>26</v>
      </c>
      <c r="B21" s="4" t="s">
        <v>6</v>
      </c>
      <c r="C21" s="4" t="s">
        <v>6</v>
      </c>
      <c r="D21" s="4" t="s">
        <v>6</v>
      </c>
      <c r="E21" s="12" t="s">
        <v>104</v>
      </c>
      <c r="F21" s="22" t="s">
        <v>146</v>
      </c>
    </row>
    <row r="22" spans="1:6" x14ac:dyDescent="0.2">
      <c r="A22" s="2" t="s">
        <v>27</v>
      </c>
      <c r="B22" s="4" t="s">
        <v>6</v>
      </c>
      <c r="C22" s="5" t="s">
        <v>12</v>
      </c>
      <c r="D22" s="5" t="s">
        <v>12</v>
      </c>
      <c r="E22" s="12" t="s">
        <v>118</v>
      </c>
      <c r="F22" s="22" t="s">
        <v>146</v>
      </c>
    </row>
    <row r="23" spans="1:6" x14ac:dyDescent="0.2">
      <c r="A23" s="2" t="s">
        <v>28</v>
      </c>
      <c r="B23" s="4" t="s">
        <v>6</v>
      </c>
      <c r="C23" s="4" t="s">
        <v>6</v>
      </c>
      <c r="D23" s="4" t="s">
        <v>6</v>
      </c>
      <c r="E23" s="12" t="s">
        <v>105</v>
      </c>
      <c r="F23" s="22" t="s">
        <v>146</v>
      </c>
    </row>
    <row r="24" spans="1:6" x14ac:dyDescent="0.2">
      <c r="A24" s="2" t="s">
        <v>29</v>
      </c>
      <c r="B24" s="4" t="s">
        <v>6</v>
      </c>
      <c r="C24" s="4" t="s">
        <v>6</v>
      </c>
      <c r="D24" s="4" t="s">
        <v>6</v>
      </c>
      <c r="E24" s="12" t="s">
        <v>119</v>
      </c>
      <c r="F24" s="22" t="s">
        <v>146</v>
      </c>
    </row>
    <row r="25" spans="1:6" x14ac:dyDescent="0.2">
      <c r="A25" s="2" t="s">
        <v>30</v>
      </c>
      <c r="B25" s="4" t="s">
        <v>6</v>
      </c>
      <c r="C25" s="4" t="s">
        <v>6</v>
      </c>
      <c r="D25" s="4" t="s">
        <v>6</v>
      </c>
      <c r="E25" s="12" t="s">
        <v>112</v>
      </c>
      <c r="F25" s="22" t="s">
        <v>146</v>
      </c>
    </row>
    <row r="26" spans="1:6" x14ac:dyDescent="0.2">
      <c r="A26" s="2" t="s">
        <v>31</v>
      </c>
      <c r="B26" s="4" t="s">
        <v>6</v>
      </c>
      <c r="C26" s="4" t="s">
        <v>6</v>
      </c>
      <c r="D26" s="5" t="s">
        <v>12</v>
      </c>
      <c r="E26" s="12" t="s">
        <v>117</v>
      </c>
      <c r="F26" s="22" t="s">
        <v>146</v>
      </c>
    </row>
    <row r="27" spans="1:6" x14ac:dyDescent="0.2">
      <c r="A27" s="2" t="s">
        <v>32</v>
      </c>
      <c r="B27" s="4" t="s">
        <v>6</v>
      </c>
      <c r="C27" s="4" t="s">
        <v>6</v>
      </c>
      <c r="D27" s="5" t="s">
        <v>12</v>
      </c>
      <c r="E27" t="s">
        <v>132</v>
      </c>
      <c r="F27" s="22" t="s">
        <v>146</v>
      </c>
    </row>
    <row r="28" spans="1:6" x14ac:dyDescent="0.2">
      <c r="A28" s="2" t="s">
        <v>33</v>
      </c>
      <c r="B28" s="4" t="s">
        <v>6</v>
      </c>
      <c r="C28" s="4" t="s">
        <v>6</v>
      </c>
      <c r="D28" s="5" t="s">
        <v>12</v>
      </c>
      <c r="E28" s="10" t="s">
        <v>132</v>
      </c>
      <c r="F28" s="22" t="s">
        <v>146</v>
      </c>
    </row>
    <row r="29" spans="1:6" x14ac:dyDescent="0.2">
      <c r="A29" s="2" t="s">
        <v>34</v>
      </c>
      <c r="B29" s="4" t="s">
        <v>6</v>
      </c>
      <c r="C29" s="4" t="s">
        <v>6</v>
      </c>
      <c r="D29" s="5" t="s">
        <v>12</v>
      </c>
      <c r="E29" s="12" t="s">
        <v>132</v>
      </c>
      <c r="F29" s="22" t="s">
        <v>146</v>
      </c>
    </row>
    <row r="30" spans="1:6" x14ac:dyDescent="0.2">
      <c r="A30" s="2" t="s">
        <v>35</v>
      </c>
      <c r="B30" s="4" t="s">
        <v>6</v>
      </c>
      <c r="C30" s="4" t="s">
        <v>6</v>
      </c>
      <c r="D30" s="5" t="s">
        <v>12</v>
      </c>
      <c r="E30" t="s">
        <v>132</v>
      </c>
      <c r="F30" s="22" t="s">
        <v>146</v>
      </c>
    </row>
    <row r="31" spans="1:6" x14ac:dyDescent="0.2">
      <c r="A31" s="2" t="s">
        <v>36</v>
      </c>
      <c r="B31" s="4" t="s">
        <v>6</v>
      </c>
      <c r="C31" s="4" t="s">
        <v>6</v>
      </c>
      <c r="D31" s="5" t="s">
        <v>12</v>
      </c>
      <c r="E31" s="10" t="s">
        <v>104</v>
      </c>
      <c r="F31" s="22" t="s">
        <v>146</v>
      </c>
    </row>
    <row r="32" spans="1:6" x14ac:dyDescent="0.2">
      <c r="A32" s="2" t="s">
        <v>37</v>
      </c>
      <c r="B32" s="4" t="s">
        <v>6</v>
      </c>
      <c r="C32" s="4" t="s">
        <v>6</v>
      </c>
      <c r="D32" s="5" t="s">
        <v>12</v>
      </c>
      <c r="E32" s="10" t="s">
        <v>105</v>
      </c>
      <c r="F32" s="22" t="s">
        <v>146</v>
      </c>
    </row>
    <row r="33" spans="1:6" x14ac:dyDescent="0.2">
      <c r="A33" s="2" t="s">
        <v>38</v>
      </c>
      <c r="B33" s="4" t="s">
        <v>6</v>
      </c>
      <c r="C33" s="4" t="s">
        <v>6</v>
      </c>
      <c r="D33" s="4" t="s">
        <v>6</v>
      </c>
      <c r="E33" s="14" t="s">
        <v>118</v>
      </c>
      <c r="F33" s="22" t="s">
        <v>146</v>
      </c>
    </row>
    <row r="34" spans="1:6" x14ac:dyDescent="0.2">
      <c r="A34" s="2" t="s">
        <v>39</v>
      </c>
      <c r="B34" s="4" t="s">
        <v>6</v>
      </c>
      <c r="C34" s="4" t="s">
        <v>6</v>
      </c>
      <c r="D34" s="5" t="s">
        <v>12</v>
      </c>
      <c r="E34" s="10" t="s">
        <v>120</v>
      </c>
      <c r="F34" s="22" t="s">
        <v>146</v>
      </c>
    </row>
    <row r="35" spans="1:6" x14ac:dyDescent="0.2">
      <c r="A35" s="2" t="s">
        <v>40</v>
      </c>
      <c r="B35" s="4" t="s">
        <v>6</v>
      </c>
      <c r="C35" s="4" t="s">
        <v>6</v>
      </c>
      <c r="D35" s="5" t="s">
        <v>12</v>
      </c>
      <c r="E35" s="10" t="s">
        <v>120</v>
      </c>
      <c r="F35" s="22" t="s">
        <v>146</v>
      </c>
    </row>
    <row r="36" spans="1:6" x14ac:dyDescent="0.2">
      <c r="A36" s="2" t="s">
        <v>41</v>
      </c>
      <c r="B36" s="4" t="s">
        <v>6</v>
      </c>
      <c r="C36" s="4" t="s">
        <v>6</v>
      </c>
      <c r="D36" s="4" t="s">
        <v>6</v>
      </c>
      <c r="E36" s="14" t="s">
        <v>104</v>
      </c>
      <c r="F36" s="22" t="s">
        <v>146</v>
      </c>
    </row>
    <row r="37" spans="1:6" x14ac:dyDescent="0.2">
      <c r="A37" s="2" t="s">
        <v>42</v>
      </c>
      <c r="B37" s="4" t="s">
        <v>6</v>
      </c>
      <c r="C37" s="4" t="s">
        <v>6</v>
      </c>
      <c r="D37" s="4" t="s">
        <v>6</v>
      </c>
      <c r="E37" s="14" t="s">
        <v>104</v>
      </c>
      <c r="F37" s="22" t="s">
        <v>146</v>
      </c>
    </row>
    <row r="38" spans="1:6" x14ac:dyDescent="0.2">
      <c r="A38" s="2" t="s">
        <v>43</v>
      </c>
      <c r="B38" s="4" t="s">
        <v>6</v>
      </c>
      <c r="C38" s="4" t="s">
        <v>6</v>
      </c>
      <c r="D38" s="4" t="s">
        <v>6</v>
      </c>
      <c r="E38" s="15" t="s">
        <v>104</v>
      </c>
      <c r="F38" s="22" t="s">
        <v>146</v>
      </c>
    </row>
    <row r="39" spans="1:6" x14ac:dyDescent="0.2">
      <c r="A39" s="2" t="s">
        <v>44</v>
      </c>
      <c r="B39" s="4" t="s">
        <v>6</v>
      </c>
      <c r="C39" s="4" t="s">
        <v>6</v>
      </c>
      <c r="D39" s="4" t="s">
        <v>6</v>
      </c>
      <c r="E39" s="15" t="s">
        <v>104</v>
      </c>
      <c r="F39" s="22" t="s">
        <v>146</v>
      </c>
    </row>
    <row r="40" spans="1:6" x14ac:dyDescent="0.2">
      <c r="A40" s="2" t="s">
        <v>45</v>
      </c>
      <c r="B40" s="4" t="s">
        <v>6</v>
      </c>
      <c r="C40" s="4" t="s">
        <v>6</v>
      </c>
      <c r="D40" s="4" t="s">
        <v>6</v>
      </c>
      <c r="E40" s="15" t="s">
        <v>104</v>
      </c>
      <c r="F40" s="22" t="s">
        <v>146</v>
      </c>
    </row>
    <row r="41" spans="1:6" x14ac:dyDescent="0.2">
      <c r="A41" s="2" t="s">
        <v>46</v>
      </c>
      <c r="B41" s="4" t="s">
        <v>6</v>
      </c>
      <c r="C41" s="4" t="s">
        <v>6</v>
      </c>
      <c r="D41" s="5" t="s">
        <v>12</v>
      </c>
      <c r="E41" s="15" t="s">
        <v>118</v>
      </c>
      <c r="F41" s="22" t="s">
        <v>146</v>
      </c>
    </row>
    <row r="42" spans="1:6" x14ac:dyDescent="0.2">
      <c r="A42" s="2" t="s">
        <v>47</v>
      </c>
      <c r="B42" s="4" t="s">
        <v>6</v>
      </c>
      <c r="C42" s="4" t="s">
        <v>6</v>
      </c>
      <c r="D42" s="5" t="s">
        <v>12</v>
      </c>
      <c r="E42" s="15" t="s">
        <v>118</v>
      </c>
      <c r="F42" s="22" t="s">
        <v>146</v>
      </c>
    </row>
    <row r="43" spans="1:6" x14ac:dyDescent="0.2">
      <c r="A43" s="2" t="s">
        <v>48</v>
      </c>
      <c r="B43" s="4" t="s">
        <v>6</v>
      </c>
      <c r="C43" s="4" t="s">
        <v>6</v>
      </c>
      <c r="D43" s="4" t="s">
        <v>6</v>
      </c>
      <c r="E43" s="15" t="s">
        <v>118</v>
      </c>
      <c r="F43" s="22" t="s">
        <v>146</v>
      </c>
    </row>
    <row r="44" spans="1:6" x14ac:dyDescent="0.2">
      <c r="A44" s="2" t="s">
        <v>49</v>
      </c>
      <c r="B44" s="4" t="s">
        <v>6</v>
      </c>
      <c r="C44" s="5" t="s">
        <v>12</v>
      </c>
      <c r="D44" s="5" t="s">
        <v>12</v>
      </c>
      <c r="E44" s="15" t="s">
        <v>118</v>
      </c>
      <c r="F44" s="22" t="s">
        <v>146</v>
      </c>
    </row>
    <row r="45" spans="1:6" x14ac:dyDescent="0.2">
      <c r="A45" s="2" t="s">
        <v>50</v>
      </c>
      <c r="B45" s="4" t="s">
        <v>6</v>
      </c>
      <c r="C45" s="4" t="s">
        <v>6</v>
      </c>
      <c r="D45" s="4" t="s">
        <v>6</v>
      </c>
      <c r="E45" s="15" t="s">
        <v>118</v>
      </c>
      <c r="F45" s="22" t="s">
        <v>146</v>
      </c>
    </row>
    <row r="46" spans="1:6" x14ac:dyDescent="0.2">
      <c r="A46" s="2" t="s">
        <v>51</v>
      </c>
      <c r="B46" s="4" t="s">
        <v>6</v>
      </c>
      <c r="C46" s="4" t="s">
        <v>6</v>
      </c>
      <c r="D46" s="4" t="s">
        <v>6</v>
      </c>
      <c r="E46" s="15" t="s">
        <v>118</v>
      </c>
      <c r="F46" s="22" t="s">
        <v>146</v>
      </c>
    </row>
    <row r="47" spans="1:6" x14ac:dyDescent="0.2">
      <c r="A47" s="2" t="s">
        <v>52</v>
      </c>
      <c r="B47" s="4" t="s">
        <v>6</v>
      </c>
      <c r="C47" s="5" t="s">
        <v>12</v>
      </c>
      <c r="D47" s="5" t="s">
        <v>12</v>
      </c>
      <c r="E47" s="15" t="s">
        <v>118</v>
      </c>
      <c r="F47" s="22" t="s">
        <v>146</v>
      </c>
    </row>
    <row r="48" spans="1:6" x14ac:dyDescent="0.2">
      <c r="A48" s="2" t="s">
        <v>53</v>
      </c>
      <c r="B48" s="4" t="s">
        <v>6</v>
      </c>
      <c r="C48" s="4" t="s">
        <v>6</v>
      </c>
      <c r="D48" s="4" t="s">
        <v>6</v>
      </c>
      <c r="E48" s="15" t="s">
        <v>118</v>
      </c>
      <c r="F48" s="22" t="s">
        <v>146</v>
      </c>
    </row>
    <row r="49" spans="1:6" x14ac:dyDescent="0.2">
      <c r="A49" s="2" t="s">
        <v>54</v>
      </c>
      <c r="B49" s="4" t="s">
        <v>6</v>
      </c>
      <c r="C49" s="4" t="s">
        <v>6</v>
      </c>
      <c r="D49" s="5" t="s">
        <v>12</v>
      </c>
      <c r="E49" s="30" t="s">
        <v>118</v>
      </c>
      <c r="F49" s="22" t="s">
        <v>146</v>
      </c>
    </row>
    <row r="50" spans="1:6" x14ac:dyDescent="0.2">
      <c r="A50" s="2" t="s">
        <v>55</v>
      </c>
      <c r="B50" s="4" t="s">
        <v>6</v>
      </c>
      <c r="C50" s="5" t="s">
        <v>12</v>
      </c>
      <c r="D50" s="5" t="s">
        <v>12</v>
      </c>
      <c r="E50" s="15" t="s">
        <v>118</v>
      </c>
      <c r="F50" s="22" t="s">
        <v>146</v>
      </c>
    </row>
    <row r="51" spans="1:6" x14ac:dyDescent="0.2">
      <c r="A51" s="2" t="s">
        <v>56</v>
      </c>
      <c r="B51" s="4" t="s">
        <v>6</v>
      </c>
      <c r="C51" s="4" t="s">
        <v>6</v>
      </c>
      <c r="D51" s="4" t="s">
        <v>6</v>
      </c>
      <c r="E51" s="15" t="s">
        <v>104</v>
      </c>
      <c r="F51" s="22" t="s">
        <v>146</v>
      </c>
    </row>
    <row r="52" spans="1:6" x14ac:dyDescent="0.2">
      <c r="A52" s="2" t="s">
        <v>57</v>
      </c>
      <c r="B52" s="4" t="s">
        <v>6</v>
      </c>
      <c r="C52" s="4" t="s">
        <v>6</v>
      </c>
      <c r="D52" s="4" t="s">
        <v>6</v>
      </c>
      <c r="E52" s="15" t="s">
        <v>118</v>
      </c>
      <c r="F52" s="22" t="s">
        <v>146</v>
      </c>
    </row>
    <row r="53" spans="1:6" x14ac:dyDescent="0.2">
      <c r="A53" s="2" t="s">
        <v>58</v>
      </c>
      <c r="B53" s="4" t="s">
        <v>6</v>
      </c>
      <c r="C53" s="4" t="s">
        <v>6</v>
      </c>
      <c r="D53" s="4" t="s">
        <v>6</v>
      </c>
      <c r="E53" s="15" t="s">
        <v>104</v>
      </c>
      <c r="F53" s="22" t="s">
        <v>146</v>
      </c>
    </row>
    <row r="54" spans="1:6" x14ac:dyDescent="0.2">
      <c r="A54" s="2" t="s">
        <v>59</v>
      </c>
      <c r="B54" s="4" t="s">
        <v>6</v>
      </c>
      <c r="C54" s="4" t="s">
        <v>6</v>
      </c>
      <c r="D54" s="5" t="s">
        <v>12</v>
      </c>
      <c r="E54" s="15" t="s">
        <v>104</v>
      </c>
      <c r="F54" s="22" t="s">
        <v>146</v>
      </c>
    </row>
    <row r="55" spans="1:6" x14ac:dyDescent="0.2">
      <c r="A55" s="2" t="s">
        <v>60</v>
      </c>
      <c r="B55" s="5" t="s">
        <v>12</v>
      </c>
      <c r="C55" s="5" t="s">
        <v>12</v>
      </c>
      <c r="D55" s="5" t="s">
        <v>12</v>
      </c>
      <c r="E55" s="15" t="s">
        <v>104</v>
      </c>
      <c r="F55" s="22" t="s">
        <v>146</v>
      </c>
    </row>
    <row r="56" spans="1:6" x14ac:dyDescent="0.2">
      <c r="A56" s="2" t="s">
        <v>61</v>
      </c>
      <c r="B56" s="4" t="s">
        <v>6</v>
      </c>
      <c r="C56" s="5" t="s">
        <v>12</v>
      </c>
      <c r="D56" s="5" t="s">
        <v>12</v>
      </c>
      <c r="E56" s="15" t="s">
        <v>117</v>
      </c>
      <c r="F56" s="22" t="s">
        <v>146</v>
      </c>
    </row>
    <row r="57" spans="1:6" x14ac:dyDescent="0.2">
      <c r="A57" s="2" t="s">
        <v>62</v>
      </c>
      <c r="B57" s="4" t="s">
        <v>6</v>
      </c>
      <c r="C57" s="4" t="s">
        <v>6</v>
      </c>
      <c r="D57" s="5" t="s">
        <v>12</v>
      </c>
      <c r="E57" s="15" t="s">
        <v>121</v>
      </c>
      <c r="F57" s="22" t="s">
        <v>146</v>
      </c>
    </row>
    <row r="58" spans="1:6" x14ac:dyDescent="0.2">
      <c r="A58" s="2" t="s">
        <v>63</v>
      </c>
      <c r="B58" s="4" t="s">
        <v>6</v>
      </c>
      <c r="C58" s="4" t="s">
        <v>6</v>
      </c>
      <c r="D58" s="4" t="s">
        <v>6</v>
      </c>
      <c r="E58" s="15" t="s">
        <v>117</v>
      </c>
      <c r="F58" s="22" t="s">
        <v>146</v>
      </c>
    </row>
    <row r="59" spans="1:6" x14ac:dyDescent="0.2">
      <c r="A59" s="2" t="s">
        <v>64</v>
      </c>
      <c r="B59" s="4" t="s">
        <v>6</v>
      </c>
      <c r="C59" s="4" t="s">
        <v>6</v>
      </c>
      <c r="D59" s="5" t="s">
        <v>12</v>
      </c>
      <c r="E59" t="s">
        <v>132</v>
      </c>
      <c r="F59" s="22" t="s">
        <v>146</v>
      </c>
    </row>
    <row r="60" spans="1:6" x14ac:dyDescent="0.2">
      <c r="A60" s="2" t="s">
        <v>65</v>
      </c>
      <c r="B60" s="4" t="s">
        <v>6</v>
      </c>
      <c r="C60" s="4" t="s">
        <v>6</v>
      </c>
      <c r="D60" s="5" t="s">
        <v>12</v>
      </c>
      <c r="E60" s="15" t="s">
        <v>118</v>
      </c>
      <c r="F60" s="22" t="s">
        <v>146</v>
      </c>
    </row>
    <row r="61" spans="1:6" x14ac:dyDescent="0.2">
      <c r="A61" s="2" t="s">
        <v>66</v>
      </c>
      <c r="B61" s="4" t="s">
        <v>6</v>
      </c>
      <c r="C61" s="4" t="s">
        <v>6</v>
      </c>
      <c r="D61" s="5" t="s">
        <v>12</v>
      </c>
      <c r="E61" s="15" t="s">
        <v>118</v>
      </c>
      <c r="F61" s="22" t="s">
        <v>146</v>
      </c>
    </row>
    <row r="62" spans="1:6" x14ac:dyDescent="0.2">
      <c r="A62" s="2" t="s">
        <v>67</v>
      </c>
      <c r="B62" s="4" t="s">
        <v>6</v>
      </c>
      <c r="C62" s="4" t="s">
        <v>6</v>
      </c>
      <c r="D62" s="5" t="s">
        <v>12</v>
      </c>
      <c r="E62" s="15" t="s">
        <v>113</v>
      </c>
      <c r="F62" s="22" t="s">
        <v>146</v>
      </c>
    </row>
    <row r="63" spans="1:6" x14ac:dyDescent="0.2">
      <c r="A63" s="2" t="s">
        <v>68</v>
      </c>
      <c r="B63" s="4" t="s">
        <v>6</v>
      </c>
      <c r="C63" s="4" t="s">
        <v>6</v>
      </c>
      <c r="D63" s="5" t="s">
        <v>12</v>
      </c>
      <c r="E63" s="15" t="s">
        <v>122</v>
      </c>
      <c r="F63" s="22" t="s">
        <v>146</v>
      </c>
    </row>
    <row r="64" spans="1:6" x14ac:dyDescent="0.2">
      <c r="A64" s="2" t="s">
        <v>69</v>
      </c>
      <c r="B64" s="4" t="s">
        <v>6</v>
      </c>
      <c r="C64" s="4" t="s">
        <v>6</v>
      </c>
      <c r="D64" s="5" t="s">
        <v>12</v>
      </c>
      <c r="E64" s="30" t="s">
        <v>157</v>
      </c>
      <c r="F64" s="22" t="s">
        <v>146</v>
      </c>
    </row>
    <row r="65" spans="1:6" x14ac:dyDescent="0.2">
      <c r="A65" s="2" t="s">
        <v>70</v>
      </c>
      <c r="B65" s="4" t="s">
        <v>6</v>
      </c>
      <c r="C65" s="4" t="s">
        <v>6</v>
      </c>
      <c r="D65" s="5" t="s">
        <v>12</v>
      </c>
      <c r="E65" s="30" t="s">
        <v>132</v>
      </c>
      <c r="F65" s="22" t="s">
        <v>146</v>
      </c>
    </row>
    <row r="66" spans="1:6" x14ac:dyDescent="0.2">
      <c r="A66" s="2" t="s">
        <v>71</v>
      </c>
      <c r="B66" s="4" t="s">
        <v>6</v>
      </c>
      <c r="C66" s="4" t="s">
        <v>6</v>
      </c>
      <c r="D66" s="5" t="s">
        <v>12</v>
      </c>
      <c r="E66" s="30" t="s">
        <v>132</v>
      </c>
      <c r="F66" s="22" t="s">
        <v>146</v>
      </c>
    </row>
    <row r="67" spans="1:6" x14ac:dyDescent="0.2">
      <c r="A67" s="2" t="s">
        <v>72</v>
      </c>
      <c r="B67" s="4" t="s">
        <v>6</v>
      </c>
      <c r="C67" s="4" t="s">
        <v>6</v>
      </c>
      <c r="D67" s="5" t="s">
        <v>12</v>
      </c>
      <c r="E67" s="30" t="s">
        <v>157</v>
      </c>
      <c r="F67" s="22" t="s">
        <v>146</v>
      </c>
    </row>
    <row r="68" spans="1:6" x14ac:dyDescent="0.2">
      <c r="A68" s="2" t="s">
        <v>73</v>
      </c>
      <c r="B68" s="4" t="s">
        <v>6</v>
      </c>
      <c r="C68" s="5" t="s">
        <v>12</v>
      </c>
      <c r="D68" s="5" t="s">
        <v>12</v>
      </c>
      <c r="E68" s="30" t="s">
        <v>132</v>
      </c>
      <c r="F68" s="22" t="s">
        <v>146</v>
      </c>
    </row>
    <row r="69" spans="1:6" x14ac:dyDescent="0.2">
      <c r="A69" s="2" t="s">
        <v>74</v>
      </c>
      <c r="B69" s="4" t="s">
        <v>6</v>
      </c>
      <c r="C69" s="4" t="s">
        <v>6</v>
      </c>
      <c r="D69" s="5" t="s">
        <v>12</v>
      </c>
      <c r="E69" s="30" t="s">
        <v>157</v>
      </c>
      <c r="F69" s="22" t="s">
        <v>146</v>
      </c>
    </row>
    <row r="70" spans="1:6" x14ac:dyDescent="0.2">
      <c r="A70" s="2" t="s">
        <v>75</v>
      </c>
      <c r="B70" s="4" t="s">
        <v>6</v>
      </c>
      <c r="C70" s="4" t="s">
        <v>6</v>
      </c>
      <c r="D70" s="5" t="s">
        <v>12</v>
      </c>
      <c r="E70" s="30" t="s">
        <v>157</v>
      </c>
      <c r="F70" s="22" t="s">
        <v>146</v>
      </c>
    </row>
    <row r="71" spans="1:6" x14ac:dyDescent="0.2">
      <c r="A71" s="2" t="s">
        <v>76</v>
      </c>
      <c r="B71" s="4" t="s">
        <v>6</v>
      </c>
      <c r="C71" s="4" t="s">
        <v>6</v>
      </c>
      <c r="D71" s="5" t="s">
        <v>12</v>
      </c>
      <c r="E71" s="15" t="s">
        <v>152</v>
      </c>
      <c r="F71" s="22" t="s">
        <v>146</v>
      </c>
    </row>
    <row r="72" spans="1:6" x14ac:dyDescent="0.2">
      <c r="A72" s="2" t="s">
        <v>77</v>
      </c>
      <c r="B72" s="4" t="s">
        <v>6</v>
      </c>
      <c r="C72" s="4" t="s">
        <v>6</v>
      </c>
      <c r="D72" s="5" t="s">
        <v>12</v>
      </c>
      <c r="E72" s="30" t="s">
        <v>157</v>
      </c>
      <c r="F72" s="22" t="s">
        <v>146</v>
      </c>
    </row>
    <row r="73" spans="1:6" x14ac:dyDescent="0.2">
      <c r="A73" s="2" t="s">
        <v>78</v>
      </c>
      <c r="B73" s="4" t="s">
        <v>6</v>
      </c>
      <c r="C73" s="4" t="s">
        <v>6</v>
      </c>
      <c r="D73" s="5" t="s">
        <v>12</v>
      </c>
      <c r="E73" s="10" t="s">
        <v>115</v>
      </c>
      <c r="F73" s="22" t="s">
        <v>146</v>
      </c>
    </row>
    <row r="74" spans="1:6" x14ac:dyDescent="0.2">
      <c r="A74" s="2" t="s">
        <v>79</v>
      </c>
      <c r="B74" s="4" t="s">
        <v>6</v>
      </c>
      <c r="C74" s="4" t="s">
        <v>6</v>
      </c>
      <c r="D74" s="5" t="s">
        <v>12</v>
      </c>
      <c r="E74" s="10" t="s">
        <v>113</v>
      </c>
      <c r="F74" s="22" t="s">
        <v>146</v>
      </c>
    </row>
    <row r="75" spans="1:6" x14ac:dyDescent="0.2">
      <c r="A75" s="2" t="s">
        <v>80</v>
      </c>
      <c r="B75" s="4" t="s">
        <v>6</v>
      </c>
      <c r="C75" s="4" t="s">
        <v>6</v>
      </c>
      <c r="D75" s="5" t="s">
        <v>12</v>
      </c>
      <c r="E75" s="10" t="s">
        <v>115</v>
      </c>
      <c r="F75" s="22" t="s">
        <v>146</v>
      </c>
    </row>
    <row r="76" spans="1:6" x14ac:dyDescent="0.2">
      <c r="A76" s="2" t="s">
        <v>81</v>
      </c>
      <c r="B76" s="4" t="s">
        <v>6</v>
      </c>
      <c r="C76" s="4" t="s">
        <v>6</v>
      </c>
      <c r="D76" s="5" t="s">
        <v>12</v>
      </c>
      <c r="E76" s="10" t="s">
        <v>118</v>
      </c>
      <c r="F76" s="22" t="s">
        <v>146</v>
      </c>
    </row>
    <row r="77" spans="1:6" x14ac:dyDescent="0.2">
      <c r="A77" s="11" t="s">
        <v>88</v>
      </c>
      <c r="B77" s="13" t="s">
        <v>6</v>
      </c>
      <c r="C77" s="12" t="s">
        <v>6</v>
      </c>
      <c r="D77" s="21" t="s">
        <v>142</v>
      </c>
      <c r="E77" s="10" t="s">
        <v>90</v>
      </c>
      <c r="F77" s="10" t="s">
        <v>144</v>
      </c>
    </row>
    <row r="78" spans="1:6" x14ac:dyDescent="0.2">
      <c r="A78" s="11" t="s">
        <v>89</v>
      </c>
      <c r="B78" s="13" t="s">
        <v>6</v>
      </c>
      <c r="C78" s="12" t="s">
        <v>6</v>
      </c>
      <c r="D78" s="21" t="s">
        <v>142</v>
      </c>
      <c r="E78" s="10" t="s">
        <v>111</v>
      </c>
      <c r="F78" s="10" t="s">
        <v>144</v>
      </c>
    </row>
    <row r="79" spans="1:6" x14ac:dyDescent="0.2">
      <c r="A79" s="11" t="s">
        <v>91</v>
      </c>
      <c r="B79" s="13" t="s">
        <v>92</v>
      </c>
      <c r="C79" s="12" t="s">
        <v>92</v>
      </c>
      <c r="D79" s="21" t="s">
        <v>142</v>
      </c>
      <c r="E79" s="10" t="s">
        <v>112</v>
      </c>
      <c r="F79" s="10" t="s">
        <v>144</v>
      </c>
    </row>
    <row r="80" spans="1:6" x14ac:dyDescent="0.2">
      <c r="A80" s="11" t="s">
        <v>94</v>
      </c>
      <c r="B80" s="13" t="s">
        <v>6</v>
      </c>
      <c r="C80" s="12" t="s">
        <v>95</v>
      </c>
      <c r="D80" s="21" t="s">
        <v>142</v>
      </c>
      <c r="E80" s="10" t="s">
        <v>96</v>
      </c>
      <c r="F80" s="10" t="s">
        <v>144</v>
      </c>
    </row>
    <row r="81" spans="1:6" x14ac:dyDescent="0.2">
      <c r="A81" s="11" t="s">
        <v>97</v>
      </c>
      <c r="B81" s="13" t="s">
        <v>98</v>
      </c>
      <c r="C81" s="12" t="s">
        <v>95</v>
      </c>
      <c r="D81" s="21" t="s">
        <v>142</v>
      </c>
      <c r="E81" s="10" t="s">
        <v>104</v>
      </c>
      <c r="F81" s="10" t="s">
        <v>144</v>
      </c>
    </row>
    <row r="82" spans="1:6" x14ac:dyDescent="0.2">
      <c r="A82" s="11" t="s">
        <v>99</v>
      </c>
      <c r="B82" s="13" t="s">
        <v>98</v>
      </c>
      <c r="C82" s="12" t="s">
        <v>95</v>
      </c>
      <c r="D82" s="21" t="s">
        <v>142</v>
      </c>
      <c r="E82" s="10" t="s">
        <v>104</v>
      </c>
      <c r="F82" s="10" t="s">
        <v>144</v>
      </c>
    </row>
    <row r="83" spans="1:6" x14ac:dyDescent="0.2">
      <c r="A83" s="11" t="s">
        <v>100</v>
      </c>
      <c r="B83" s="13" t="s">
        <v>98</v>
      </c>
      <c r="C83" s="12" t="s">
        <v>95</v>
      </c>
      <c r="D83" s="21" t="s">
        <v>142</v>
      </c>
      <c r="E83" s="10" t="s">
        <v>104</v>
      </c>
      <c r="F83" s="10" t="s">
        <v>144</v>
      </c>
    </row>
    <row r="84" spans="1:6" x14ac:dyDescent="0.2">
      <c r="A84" s="11" t="s">
        <v>101</v>
      </c>
      <c r="B84" s="13" t="s">
        <v>98</v>
      </c>
      <c r="C84" s="12" t="s">
        <v>95</v>
      </c>
      <c r="D84" s="21" t="s">
        <v>142</v>
      </c>
      <c r="E84" s="10" t="s">
        <v>104</v>
      </c>
      <c r="F84" s="10" t="s">
        <v>144</v>
      </c>
    </row>
    <row r="85" spans="1:6" x14ac:dyDescent="0.2">
      <c r="A85" s="11" t="s">
        <v>102</v>
      </c>
      <c r="B85" s="13" t="s">
        <v>98</v>
      </c>
      <c r="C85" s="12" t="s">
        <v>95</v>
      </c>
      <c r="D85" s="21" t="s">
        <v>142</v>
      </c>
      <c r="E85" s="10" t="s">
        <v>105</v>
      </c>
      <c r="F85" s="10" t="s">
        <v>144</v>
      </c>
    </row>
    <row r="86" spans="1:6" x14ac:dyDescent="0.2">
      <c r="A86" s="11" t="s">
        <v>103</v>
      </c>
      <c r="B86" s="13" t="s">
        <v>98</v>
      </c>
      <c r="C86" s="12" t="s">
        <v>95</v>
      </c>
      <c r="D86" s="21" t="s">
        <v>142</v>
      </c>
      <c r="E86" s="10" t="s">
        <v>105</v>
      </c>
      <c r="F86" s="10" t="s">
        <v>144</v>
      </c>
    </row>
    <row r="87" spans="1:6" x14ac:dyDescent="0.2">
      <c r="A87" s="11" t="s">
        <v>106</v>
      </c>
      <c r="B87" s="13" t="s">
        <v>98</v>
      </c>
      <c r="C87" s="12" t="s">
        <v>92</v>
      </c>
      <c r="D87" s="21" t="s">
        <v>142</v>
      </c>
      <c r="E87" s="10" t="s">
        <v>108</v>
      </c>
      <c r="F87" s="10" t="s">
        <v>144</v>
      </c>
    </row>
    <row r="88" spans="1:6" x14ac:dyDescent="0.2">
      <c r="A88" s="11" t="s">
        <v>107</v>
      </c>
      <c r="B88" s="13" t="s">
        <v>6</v>
      </c>
      <c r="C88" s="12" t="s">
        <v>92</v>
      </c>
      <c r="D88" s="21" t="s">
        <v>142</v>
      </c>
      <c r="E88" s="10" t="s">
        <v>109</v>
      </c>
      <c r="F88" s="10" t="s">
        <v>144</v>
      </c>
    </row>
    <row r="89" spans="1:6" x14ac:dyDescent="0.2">
      <c r="A89" s="11" t="s">
        <v>110</v>
      </c>
      <c r="B89" s="13" t="s">
        <v>98</v>
      </c>
      <c r="C89" s="12" t="s">
        <v>98</v>
      </c>
      <c r="D89" s="21" t="s">
        <v>142</v>
      </c>
      <c r="E89" s="10" t="s">
        <v>111</v>
      </c>
      <c r="F89" s="10" t="s">
        <v>144</v>
      </c>
    </row>
    <row r="90" spans="1:6" x14ac:dyDescent="0.2">
      <c r="A90" s="11" t="s">
        <v>128</v>
      </c>
      <c r="B90" s="13" t="s">
        <v>98</v>
      </c>
      <c r="C90" s="12" t="s">
        <v>6</v>
      </c>
      <c r="D90" s="21" t="s">
        <v>142</v>
      </c>
      <c r="E90" s="10" t="s">
        <v>129</v>
      </c>
      <c r="F90" s="10" t="s">
        <v>144</v>
      </c>
    </row>
    <row r="91" spans="1:6" x14ac:dyDescent="0.2">
      <c r="A91" s="11" t="s">
        <v>130</v>
      </c>
      <c r="B91" s="13" t="s">
        <v>92</v>
      </c>
      <c r="C91" s="12" t="s">
        <v>92</v>
      </c>
      <c r="D91" s="21" t="s">
        <v>142</v>
      </c>
      <c r="E91" s="10" t="s">
        <v>131</v>
      </c>
      <c r="F91" s="10" t="s">
        <v>144</v>
      </c>
    </row>
    <row r="92" spans="1:6" x14ac:dyDescent="0.2">
      <c r="A92" s="19" t="s">
        <v>133</v>
      </c>
      <c r="B92" s="20" t="s">
        <v>98</v>
      </c>
      <c r="C92" s="20" t="s">
        <v>98</v>
      </c>
      <c r="D92" s="21" t="s">
        <v>142</v>
      </c>
      <c r="E92" s="18" t="s">
        <v>118</v>
      </c>
      <c r="F92" s="10" t="s">
        <v>145</v>
      </c>
    </row>
    <row r="93" spans="1:6" x14ac:dyDescent="0.2">
      <c r="A93" s="19" t="s">
        <v>134</v>
      </c>
      <c r="B93" s="20" t="s">
        <v>98</v>
      </c>
      <c r="C93" s="20" t="s">
        <v>98</v>
      </c>
      <c r="D93" s="21" t="s">
        <v>142</v>
      </c>
      <c r="E93" s="18" t="s">
        <v>138</v>
      </c>
      <c r="F93" s="10" t="s">
        <v>145</v>
      </c>
    </row>
    <row r="94" spans="1:6" x14ac:dyDescent="0.2">
      <c r="A94" s="19" t="s">
        <v>135</v>
      </c>
      <c r="B94" s="20" t="s">
        <v>98</v>
      </c>
      <c r="C94" s="20" t="s">
        <v>98</v>
      </c>
      <c r="D94" s="21" t="s">
        <v>142</v>
      </c>
      <c r="E94" s="18" t="s">
        <v>138</v>
      </c>
      <c r="F94" s="10" t="s">
        <v>145</v>
      </c>
    </row>
    <row r="95" spans="1:6" x14ac:dyDescent="0.2">
      <c r="A95" s="19" t="s">
        <v>136</v>
      </c>
      <c r="B95" s="20" t="s">
        <v>98</v>
      </c>
      <c r="C95" s="20" t="s">
        <v>98</v>
      </c>
      <c r="D95" s="21" t="s">
        <v>142</v>
      </c>
      <c r="E95" s="18" t="s">
        <v>138</v>
      </c>
      <c r="F95" s="10" t="s">
        <v>145</v>
      </c>
    </row>
    <row r="96" spans="1:6" x14ac:dyDescent="0.2">
      <c r="A96" s="19" t="s">
        <v>137</v>
      </c>
      <c r="B96" s="20" t="s">
        <v>98</v>
      </c>
      <c r="C96" s="20" t="s">
        <v>98</v>
      </c>
      <c r="D96" s="21" t="s">
        <v>142</v>
      </c>
      <c r="E96" s="18" t="s">
        <v>138</v>
      </c>
      <c r="F96" s="10" t="s">
        <v>145</v>
      </c>
    </row>
    <row r="97" spans="1:6" x14ac:dyDescent="0.2">
      <c r="A97" s="19" t="s">
        <v>140</v>
      </c>
      <c r="B97" s="20" t="s">
        <v>6</v>
      </c>
      <c r="C97" s="20" t="s">
        <v>142</v>
      </c>
      <c r="D97" s="21" t="s">
        <v>142</v>
      </c>
      <c r="E97" s="18" t="s">
        <v>141</v>
      </c>
      <c r="F97" s="10" t="s">
        <v>145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Sondage d&amp;#039;opinion 0</vt:lpstr>
      <vt:lpstr>Commentaires</vt:lpstr>
      <vt:lpstr>Feuil1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Xoyondo poll</dc:title>
  <dc:subject>Your Xoyondo poll</dc:subject>
  <dc:creator>Xoyondo</dc:creator>
  <cp:keywords>Xoyondo poll</cp:keywords>
  <dc:description>Your Xoyondo poll</dc:description>
  <cp:lastModifiedBy>Francois Auer</cp:lastModifiedBy>
  <dcterms:created xsi:type="dcterms:W3CDTF">2023-11-26T11:18:22Z</dcterms:created>
  <dcterms:modified xsi:type="dcterms:W3CDTF">2023-12-03T21:26:32Z</dcterms:modified>
  <cp:category>Xoyondo poll</cp:category>
</cp:coreProperties>
</file>