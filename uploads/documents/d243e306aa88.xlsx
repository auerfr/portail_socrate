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francois-regis.auer\Downloads\"/>
    </mc:Choice>
  </mc:AlternateContent>
  <xr:revisionPtr revIDLastSave="0" documentId="13_ncr:1_{D3132AFE-2451-4EDD-8DD2-3D6D28DEC342}" xr6:coauthVersionLast="47" xr6:coauthVersionMax="47" xr10:uidLastSave="{00000000-0000-0000-0000-000000000000}"/>
  <bookViews>
    <workbookView xWindow="375" yWindow="345" windowWidth="22980" windowHeight="12315" tabRatio="500" activeTab="2" xr2:uid="{00000000-000D-0000-FFFF-FFFF00000000}"/>
  </bookViews>
  <sheets>
    <sheet name="Ne Pas transmettre  Tranches " sheetId="1" r:id="rId1"/>
    <sheet name="Budget  Previsionnel" sheetId="2" r:id="rId2"/>
    <sheet name="Outil de Calcul" sheetId="3" r:id="rId3"/>
    <sheet name="Tranche" sheetId="4" r:id="rId4"/>
    <sheet name="Feuil1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5" i="3" l="1"/>
  <c r="D25" i="5"/>
  <c r="D24" i="5"/>
  <c r="B8" i="5"/>
  <c r="D14" i="5"/>
  <c r="D4" i="5"/>
  <c r="D5" i="5"/>
  <c r="D6" i="5"/>
  <c r="D7" i="5"/>
  <c r="D8" i="5"/>
  <c r="D9" i="5"/>
  <c r="D10" i="5"/>
  <c r="D11" i="5"/>
  <c r="D12" i="5"/>
  <c r="D13" i="5"/>
  <c r="D1" i="5" s="1"/>
  <c r="D3" i="5"/>
  <c r="D14" i="3"/>
  <c r="C18" i="2"/>
  <c r="C17" i="2"/>
  <c r="B15" i="3"/>
  <c r="I28" i="2"/>
  <c r="H28" i="2"/>
  <c r="G28" i="2"/>
  <c r="F28" i="2"/>
  <c r="E28" i="2"/>
  <c r="D28" i="2"/>
  <c r="C28" i="2"/>
  <c r="B28" i="2"/>
  <c r="B25" i="2"/>
  <c r="I21" i="2"/>
  <c r="H21" i="2"/>
  <c r="G21" i="2"/>
  <c r="F21" i="2"/>
  <c r="E21" i="2"/>
  <c r="D21" i="2"/>
  <c r="C21" i="2"/>
  <c r="B21" i="2"/>
  <c r="G20" i="2"/>
  <c r="G27" i="2" s="1"/>
  <c r="G19" i="2"/>
  <c r="C19" i="2"/>
  <c r="B19" i="2"/>
  <c r="I17" i="2"/>
  <c r="H17" i="2"/>
  <c r="G17" i="2"/>
  <c r="F17" i="2"/>
  <c r="E17" i="2"/>
  <c r="D17" i="2"/>
  <c r="B17" i="2"/>
  <c r="C14" i="2"/>
  <c r="B12" i="2"/>
  <c r="I11" i="2"/>
  <c r="H11" i="2"/>
  <c r="G11" i="2"/>
  <c r="F11" i="2"/>
  <c r="E11" i="2"/>
  <c r="D11" i="2"/>
  <c r="C11" i="2"/>
  <c r="C20" i="2" s="1"/>
  <c r="B11" i="2"/>
  <c r="B20" i="2" s="1"/>
  <c r="I6" i="2"/>
  <c r="I19" i="2" s="1"/>
  <c r="H6" i="2"/>
  <c r="H19" i="2" s="1"/>
  <c r="G6" i="2"/>
  <c r="F6" i="2"/>
  <c r="F19" i="2" s="1"/>
  <c r="F20" i="2" s="1"/>
  <c r="E6" i="2"/>
  <c r="E19" i="2" s="1"/>
  <c r="D6" i="2"/>
  <c r="D19" i="2" s="1"/>
  <c r="C6" i="2"/>
  <c r="B6" i="2"/>
  <c r="C37" i="1"/>
  <c r="B7" i="3" s="1"/>
  <c r="C36" i="1"/>
  <c r="B6" i="3" s="1"/>
  <c r="C35" i="1"/>
  <c r="C34" i="1"/>
  <c r="B4" i="3" s="1"/>
  <c r="C33" i="1"/>
  <c r="B3" i="3" s="1"/>
  <c r="E20" i="2" l="1"/>
  <c r="H20" i="2"/>
  <c r="I20" i="2"/>
  <c r="F22" i="2"/>
  <c r="F27" i="2"/>
  <c r="G29" i="2"/>
  <c r="G26" i="2"/>
  <c r="G31" i="2" s="1"/>
  <c r="B8" i="3"/>
  <c r="D15" i="3" s="1"/>
  <c r="B22" i="2"/>
  <c r="B27" i="2"/>
  <c r="C27" i="2"/>
  <c r="C22" i="2"/>
  <c r="D20" i="2"/>
  <c r="G22" i="2"/>
  <c r="B3" i="2"/>
  <c r="C39" i="1"/>
  <c r="D22" i="2" l="1"/>
  <c r="D27" i="2"/>
  <c r="G17" i="3"/>
  <c r="G15" i="3"/>
  <c r="C29" i="2"/>
  <c r="C26" i="2"/>
  <c r="C31" i="2" s="1"/>
  <c r="G34" i="2"/>
  <c r="G40" i="2" s="1"/>
  <c r="G39" i="2"/>
  <c r="I27" i="2"/>
  <c r="I22" i="2"/>
  <c r="F29" i="2"/>
  <c r="F26" i="2"/>
  <c r="F31" i="2" s="1"/>
  <c r="B26" i="2"/>
  <c r="B31" i="2" s="1"/>
  <c r="B29" i="2"/>
  <c r="H27" i="2"/>
  <c r="H22" i="2"/>
  <c r="E22" i="2"/>
  <c r="E27" i="2"/>
  <c r="I29" i="2" l="1"/>
  <c r="I26" i="2"/>
  <c r="I31" i="2" s="1"/>
  <c r="C39" i="2"/>
  <c r="C34" i="2"/>
  <c r="C40" i="2" s="1"/>
  <c r="F39" i="2"/>
  <c r="F34" i="2"/>
  <c r="F40" i="2" s="1"/>
  <c r="E29" i="2"/>
  <c r="E26" i="2"/>
  <c r="E31" i="2" s="1"/>
  <c r="D3" i="3"/>
  <c r="D5" i="3"/>
  <c r="D6" i="3"/>
  <c r="D4" i="3"/>
  <c r="D7" i="3"/>
  <c r="H29" i="2"/>
  <c r="H26" i="2"/>
  <c r="H31" i="2" s="1"/>
  <c r="D29" i="2"/>
  <c r="D26" i="2"/>
  <c r="D31" i="2" s="1"/>
  <c r="B39" i="2"/>
  <c r="B34" i="2"/>
  <c r="B40" i="2" s="1"/>
  <c r="J7" i="3" l="1"/>
  <c r="F7" i="3"/>
  <c r="E7" i="3"/>
  <c r="J5" i="3"/>
  <c r="F5" i="3"/>
  <c r="E5" i="3"/>
  <c r="F4" i="3"/>
  <c r="J4" i="3"/>
  <c r="E4" i="3"/>
  <c r="E34" i="2"/>
  <c r="E40" i="2" s="1"/>
  <c r="E39" i="2"/>
  <c r="F3" i="3"/>
  <c r="J3" i="3"/>
  <c r="E3" i="3"/>
  <c r="J6" i="3"/>
  <c r="F6" i="3"/>
  <c r="E6" i="3"/>
  <c r="D34" i="2"/>
  <c r="D40" i="2" s="1"/>
  <c r="D39" i="2"/>
  <c r="H39" i="2"/>
  <c r="H34" i="2"/>
  <c r="H40" i="2" s="1"/>
  <c r="I39" i="2"/>
  <c r="I34" i="2"/>
  <c r="I40" i="2" s="1"/>
  <c r="I3" i="3" l="1"/>
  <c r="G3" i="3"/>
  <c r="I4" i="3"/>
  <c r="G4" i="3"/>
  <c r="I5" i="3"/>
  <c r="G5" i="3"/>
  <c r="I6" i="3"/>
  <c r="G6" i="3"/>
  <c r="E8" i="3"/>
  <c r="I7" i="3"/>
  <c r="G7" i="3"/>
  <c r="G8" i="3" l="1"/>
</calcChain>
</file>

<file path=xl/sharedStrings.xml><?xml version="1.0" encoding="utf-8"?>
<sst xmlns="http://schemas.openxmlformats.org/spreadsheetml/2006/main" count="156" uniqueCount="132">
  <si>
    <t>Nom</t>
  </si>
  <si>
    <t>Prenom</t>
  </si>
  <si>
    <t>Tranche</t>
  </si>
  <si>
    <t>AGNOUNA ONANA</t>
  </si>
  <si>
    <t>Alphonse</t>
  </si>
  <si>
    <t>?</t>
  </si>
  <si>
    <t>AUER</t>
  </si>
  <si>
    <t>François Régis</t>
  </si>
  <si>
    <t>BUR</t>
  </si>
  <si>
    <t>Patrick</t>
  </si>
  <si>
    <t>Butterlin</t>
  </si>
  <si>
    <t>Christophe</t>
  </si>
  <si>
    <t>Cadona</t>
  </si>
  <si>
    <t>Alain</t>
  </si>
  <si>
    <t>CHANSON</t>
  </si>
  <si>
    <t>Claire</t>
  </si>
  <si>
    <t>CORNELISE</t>
  </si>
  <si>
    <t>Dangoumau</t>
  </si>
  <si>
    <t>Tristan</t>
  </si>
  <si>
    <t>Dardenne</t>
  </si>
  <si>
    <t>Gilles</t>
  </si>
  <si>
    <t>DEL VECCHIO</t>
  </si>
  <si>
    <t>Jean Pierre</t>
  </si>
  <si>
    <t>DILLENSCHNEIDER</t>
  </si>
  <si>
    <t>Michel</t>
  </si>
  <si>
    <t>DUBOIS</t>
  </si>
  <si>
    <t>Jean-Luc</t>
  </si>
  <si>
    <t>Dupont</t>
  </si>
  <si>
    <t>Nicolas</t>
  </si>
  <si>
    <t>FAIVRE</t>
  </si>
  <si>
    <t>Guerné</t>
  </si>
  <si>
    <t>Dominique</t>
  </si>
  <si>
    <t>Ibba</t>
  </si>
  <si>
    <t>Jean marc</t>
  </si>
  <si>
    <t>Klein</t>
  </si>
  <si>
    <t>Thomas</t>
  </si>
  <si>
    <t>LEBOSSÉ</t>
  </si>
  <si>
    <t>Cédric</t>
  </si>
  <si>
    <t>luzerne</t>
  </si>
  <si>
    <t>Christian</t>
  </si>
  <si>
    <t>POIAREZ</t>
  </si>
  <si>
    <t>Jean Claude</t>
  </si>
  <si>
    <t>REYTER</t>
  </si>
  <si>
    <t>grégory</t>
  </si>
  <si>
    <t>ROCHE </t>
  </si>
  <si>
    <t>SUSSET</t>
  </si>
  <si>
    <t>Valérie</t>
  </si>
  <si>
    <t>TR</t>
  </si>
  <si>
    <t>Ariane</t>
  </si>
  <si>
    <t>App 1</t>
  </si>
  <si>
    <t>App 2</t>
  </si>
  <si>
    <t>App3</t>
  </si>
  <si>
    <t>App 4</t>
  </si>
  <si>
    <t xml:space="preserve">App 5 </t>
  </si>
  <si>
    <t>Tranche 1</t>
  </si>
  <si>
    <t>Tranche 2</t>
  </si>
  <si>
    <t>Tranche 3</t>
  </si>
  <si>
    <t>Tranche 4</t>
  </si>
  <si>
    <t>Tranche 5</t>
  </si>
  <si>
    <t>Total</t>
  </si>
  <si>
    <t>Année civile</t>
  </si>
  <si>
    <t>Membres *</t>
  </si>
  <si>
    <t>Affiliés</t>
  </si>
  <si>
    <t>Effectif total</t>
  </si>
  <si>
    <t>TENUES</t>
  </si>
  <si>
    <t>Achats</t>
  </si>
  <si>
    <t>Locations Mousson  (100 X nb ten.)</t>
  </si>
  <si>
    <t>Assurances</t>
  </si>
  <si>
    <t>Frais Convent</t>
  </si>
  <si>
    <t>Solidarité/frais CAALA</t>
  </si>
  <si>
    <t>Affranchissements</t>
  </si>
  <si>
    <t>Abonnement numérique</t>
  </si>
  <si>
    <t>Frais gestion banque</t>
  </si>
  <si>
    <t>Dépenses exceptionnelles</t>
  </si>
  <si>
    <t>Banquet d'ordre</t>
  </si>
  <si>
    <t>TOTAL DEPENSES Socrate</t>
  </si>
  <si>
    <t>Capitations GO + CAALA</t>
  </si>
  <si>
    <t>TOTAL DEPENSES BUDGET</t>
  </si>
  <si>
    <t>Médaille Région</t>
  </si>
  <si>
    <t>Médailles Loges</t>
  </si>
  <si>
    <t>Cotisations Socrate</t>
  </si>
  <si>
    <t>TOTAL RECETTES Socrate</t>
  </si>
  <si>
    <t>TOTAL RECETTES BUDGET</t>
  </si>
  <si>
    <t>Cotisation Socrate ** ***</t>
  </si>
  <si>
    <t>Capitation GODF</t>
  </si>
  <si>
    <t>Capitation CAALA</t>
  </si>
  <si>
    <t>COTISATION MEMBRE</t>
  </si>
  <si>
    <t>* Capitations des premiers initiés de la Loge comptées en année pleine</t>
  </si>
  <si>
    <t>** dont participation 20€ à 1 banquet d'ordre à partir de 2023 (membres et affiliés)</t>
  </si>
  <si>
    <t>*** montant de la cotisation des affiliés</t>
  </si>
  <si>
    <t>Pour info, cotisations hors BO :</t>
  </si>
  <si>
    <t>NOTA : pour chaque initiation compter l'achat des gants et tabliers + droits d'enregistrement GO à facturer aux néophytes.</t>
  </si>
  <si>
    <t>Nb de FF et SS</t>
  </si>
  <si>
    <t xml:space="preserve">% </t>
  </si>
  <si>
    <t>Montant tranche Affiliés</t>
  </si>
  <si>
    <t>Montant Total</t>
  </si>
  <si>
    <t>Cotisation Globale</t>
  </si>
  <si>
    <t>cotisation-76</t>
  </si>
  <si>
    <t>affiliation-76</t>
  </si>
  <si>
    <t>Nb Affiliés</t>
  </si>
  <si>
    <t>Budget Total</t>
  </si>
  <si>
    <t>Montant median Quote Part Socrate</t>
  </si>
  <si>
    <t>Capitation + Region</t>
  </si>
  <si>
    <t>budget hors capitation</t>
  </si>
  <si>
    <t>X</t>
  </si>
  <si>
    <t xml:space="preserve">(2023 = 171,70 + 4 ) </t>
  </si>
  <si>
    <t xml:space="preserve">(voir onglet budget) </t>
  </si>
  <si>
    <t>Montant Moyen</t>
  </si>
  <si>
    <t xml:space="preserve">Fraction revenu imposable ( pour une part) </t>
  </si>
  <si>
    <t>Taux d'imposition</t>
  </si>
  <si>
    <t>Tranche cotisation</t>
  </si>
  <si>
    <t>Jusque 10225 €</t>
  </si>
  <si>
    <t>&lt; -5%</t>
  </si>
  <si>
    <t>de 10226 à 26070 €</t>
  </si>
  <si>
    <t>de 5 à 10%</t>
  </si>
  <si>
    <t>de 26 071 à 74 545 €</t>
  </si>
  <si>
    <t>de 10 à 15%</t>
  </si>
  <si>
    <t>de 74546 à 160 336 €</t>
  </si>
  <si>
    <t>de 15 à 20%</t>
  </si>
  <si>
    <t>Supérieur à 160 336 €</t>
  </si>
  <si>
    <t>&gt; 20%</t>
  </si>
  <si>
    <t xml:space="preserve">simulateur : </t>
  </si>
  <si>
    <t>https://simulateur-ir-ifi.impots.gouv.fr/calcul_impot/2023/simplifie/index.htm</t>
  </si>
  <si>
    <t>Dépenses prévisionnelles</t>
  </si>
  <si>
    <t>Location</t>
  </si>
  <si>
    <t>Cout unitaire</t>
  </si>
  <si>
    <t>quantité</t>
  </si>
  <si>
    <t>nettoyage</t>
  </si>
  <si>
    <t>initiation taxes</t>
  </si>
  <si>
    <t>Nb membres</t>
  </si>
  <si>
    <t>Region cotis</t>
  </si>
  <si>
    <t>Capit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</si>
</sst>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\ [$€-40C]_-;\-* #,##0\ [$€-40C]_-;_-* \-??\ [$€-40C]_-;_-@_-"/>
    <numFmt numFmtId="165" formatCode="0\ %"/>
    <numFmt numFmtId="166" formatCode="_-* #,##0.00\ [$€-40C]_-;\-* #,##0.00\ [$€-40C]_-;_-* \-??\ [$€-40C]_-;_-@_-"/>
    <numFmt numFmtId="167" formatCode="_ * #,##0.00_)&quot; €&quot;_ ;_ * \(#,##0.00&quot;) €&quot;_ ;_ * \-??_)&quot; €&quot;_ ;_ @_ "/>
  </numFmts>
  <fonts count="18" x14ac:knownFonts="1">
    <font>
      <sz val="11"/>
      <color theme="1"/>
      <name val="Calibri"/>
      <family val="2"/>
      <charset val="1"/>
    </font>
    <font>
      <b/>
      <sz val="12"/>
      <color rgb="FFFF0000"/>
      <name val="Verdana"/>
      <family val="2"/>
      <charset val="1"/>
    </font>
    <font>
      <sz val="12"/>
      <color theme="1"/>
      <name val="Verdana"/>
      <family val="2"/>
      <charset val="1"/>
    </font>
    <font>
      <b/>
      <sz val="11"/>
      <color theme="1"/>
      <name val="Calibri"/>
      <family val="2"/>
      <charset val="1"/>
    </font>
    <font>
      <b/>
      <sz val="11"/>
      <name val="Calibri"/>
      <family val="2"/>
      <charset val="1"/>
    </font>
    <font>
      <sz val="11"/>
      <name val="Calibri"/>
      <family val="2"/>
      <charset val="1"/>
    </font>
    <font>
      <i/>
      <sz val="11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b/>
      <sz val="12"/>
      <name val="Verdana"/>
      <family val="2"/>
      <charset val="1"/>
    </font>
    <font>
      <sz val="12"/>
      <name val="Verdana"/>
      <family val="2"/>
      <charset val="1"/>
    </font>
    <font>
      <i/>
      <sz val="12"/>
      <name val="Verdana"/>
      <family val="2"/>
      <charset val="1"/>
    </font>
    <font>
      <b/>
      <sz val="12"/>
      <color rgb="FFFF0000"/>
      <name val="Calibri"/>
      <family val="2"/>
      <charset val="1"/>
    </font>
    <font>
      <b/>
      <sz val="12"/>
      <color theme="1"/>
      <name val="Calibri"/>
      <family val="2"/>
      <charset val="1"/>
    </font>
    <font>
      <i/>
      <sz val="12"/>
      <color theme="1"/>
      <name val="Calibri"/>
      <family val="2"/>
      <charset val="1"/>
    </font>
    <font>
      <b/>
      <sz val="14"/>
      <color theme="1"/>
      <name val="Calibri"/>
      <family val="2"/>
      <charset val="1"/>
    </font>
    <font>
      <sz val="14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theme="1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theme="5" tint="0.79989013336588644"/>
        <bgColor rgb="FFFFF2CC"/>
      </patternFill>
    </fill>
    <fill>
      <patternFill patternType="solid">
        <fgColor theme="4" tint="0.59987182226020086"/>
        <bgColor rgb="FF99CCFF"/>
      </patternFill>
    </fill>
    <fill>
      <patternFill patternType="solid">
        <fgColor theme="6" tint="0.79989013336588644"/>
        <bgColor rgb="FFE2F0D9"/>
      </patternFill>
    </fill>
    <fill>
      <patternFill patternType="solid">
        <fgColor theme="9" tint="0.59987182226020086"/>
        <bgColor rgb="FFE2F0D9"/>
      </patternFill>
    </fill>
    <fill>
      <patternFill patternType="solid">
        <fgColor theme="0"/>
        <bgColor rgb="FFEDEDED"/>
      </patternFill>
    </fill>
    <fill>
      <patternFill patternType="solid">
        <fgColor theme="9" tint="0.79989013336588644"/>
        <bgColor rgb="FFEDEDED"/>
      </patternFill>
    </fill>
    <fill>
      <patternFill patternType="solid">
        <fgColor theme="7" tint="0.79989013336588644"/>
        <bgColor rgb="FFFBE5D6"/>
      </patternFill>
    </fill>
    <fill>
      <patternFill patternType="solid">
        <fgColor theme="5" tint="0.39988402966399123"/>
        <bgColor rgb="FFF1C232"/>
      </patternFill>
    </fill>
    <fill>
      <patternFill patternType="solid">
        <fgColor rgb="FFFEE599"/>
        <bgColor rgb="FFFFF2CC"/>
      </patternFill>
    </fill>
    <fill>
      <patternFill patternType="solid">
        <fgColor rgb="FFF1C232"/>
        <bgColor rgb="FFF4B183"/>
      </patternFill>
    </fill>
  </fills>
  <borders count="3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</borders>
  <cellStyleXfs count="3">
    <xf numFmtId="0" fontId="0" fillId="0" borderId="0"/>
    <xf numFmtId="167" fontId="17" fillId="0" borderId="0" applyBorder="0" applyProtection="0"/>
    <xf numFmtId="0" fontId="16" fillId="0" borderId="0" applyBorder="0" applyProtection="0"/>
  </cellStyleXfs>
  <cellXfs count="86">
    <xf numFmtId="0" fontId="0" fillId="0" borderId="0" xfId="0"/>
    <xf numFmtId="0" fontId="0" fillId="0" borderId="0" xfId="0" applyAlignment="1" applyProtection="1"/>
    <xf numFmtId="0" fontId="1" fillId="0" borderId="0" xfId="0" applyFont="1" applyAlignment="1" applyProtection="1"/>
    <xf numFmtId="0" fontId="2" fillId="0" borderId="0" xfId="0" applyFont="1" applyAlignment="1" applyProtection="1"/>
    <xf numFmtId="0" fontId="3" fillId="2" borderId="1" xfId="0" applyFont="1" applyFill="1" applyBorder="1" applyAlignment="1" applyProtection="1">
      <alignment horizontal="center"/>
    </xf>
    <xf numFmtId="0" fontId="3" fillId="2" borderId="2" xfId="0" applyFont="1" applyFill="1" applyBorder="1" applyAlignment="1" applyProtection="1">
      <alignment horizontal="center"/>
    </xf>
    <xf numFmtId="0" fontId="3" fillId="0" borderId="0" xfId="0" applyFont="1" applyAlignment="1" applyProtection="1"/>
    <xf numFmtId="0" fontId="0" fillId="0" borderId="3" xfId="0" applyFont="1" applyBorder="1" applyAlignment="1" applyProtection="1"/>
    <xf numFmtId="0" fontId="0" fillId="0" borderId="4" xfId="0" applyBorder="1" applyAlignment="1" applyProtection="1"/>
    <xf numFmtId="0" fontId="0" fillId="0" borderId="5" xfId="0" applyBorder="1" applyAlignment="1" applyProtection="1"/>
    <xf numFmtId="0" fontId="0" fillId="0" borderId="6" xfId="0" applyBorder="1" applyAlignment="1" applyProtection="1"/>
    <xf numFmtId="0" fontId="0" fillId="0" borderId="7" xfId="0" applyFont="1" applyBorder="1" applyAlignment="1" applyProtection="1"/>
    <xf numFmtId="0" fontId="0" fillId="0" borderId="8" xfId="0" applyBorder="1" applyAlignment="1" applyProtection="1"/>
    <xf numFmtId="0" fontId="0" fillId="0" borderId="9" xfId="0" applyBorder="1" applyAlignment="1" applyProtection="1"/>
    <xf numFmtId="0" fontId="3" fillId="3" borderId="10" xfId="0" applyFont="1" applyFill="1" applyBorder="1" applyAlignment="1" applyProtection="1"/>
    <xf numFmtId="0" fontId="0" fillId="3" borderId="1" xfId="0" applyFill="1" applyBorder="1" applyAlignment="1" applyProtection="1"/>
    <xf numFmtId="0" fontId="0" fillId="3" borderId="2" xfId="0" applyFill="1" applyBorder="1" applyAlignment="1" applyProtection="1"/>
    <xf numFmtId="0" fontId="0" fillId="3" borderId="11" xfId="0" applyFill="1" applyBorder="1" applyAlignment="1" applyProtection="1"/>
    <xf numFmtId="0" fontId="4" fillId="4" borderId="10" xfId="0" applyFont="1" applyFill="1" applyBorder="1" applyAlignment="1" applyProtection="1"/>
    <xf numFmtId="0" fontId="5" fillId="4" borderId="12" xfId="0" applyFont="1" applyFill="1" applyBorder="1" applyAlignment="1" applyProtection="1"/>
    <xf numFmtId="0" fontId="5" fillId="4" borderId="2" xfId="0" applyFont="1" applyFill="1" applyBorder="1" applyAlignment="1" applyProtection="1"/>
    <xf numFmtId="0" fontId="5" fillId="4" borderId="11" xfId="0" applyFont="1" applyFill="1" applyBorder="1" applyAlignment="1" applyProtection="1"/>
    <xf numFmtId="4" fontId="0" fillId="0" borderId="4" xfId="0" applyNumberFormat="1" applyBorder="1" applyAlignment="1" applyProtection="1"/>
    <xf numFmtId="4" fontId="0" fillId="0" borderId="5" xfId="0" applyNumberFormat="1" applyBorder="1" applyAlignment="1" applyProtection="1"/>
    <xf numFmtId="4" fontId="0" fillId="0" borderId="6" xfId="0" applyNumberFormat="1" applyBorder="1" applyAlignment="1" applyProtection="1"/>
    <xf numFmtId="0" fontId="0" fillId="0" borderId="13" xfId="0" applyFont="1" applyBorder="1" applyAlignment="1" applyProtection="1"/>
    <xf numFmtId="4" fontId="0" fillId="0" borderId="14" xfId="0" applyNumberFormat="1" applyBorder="1" applyAlignment="1" applyProtection="1"/>
    <xf numFmtId="4" fontId="0" fillId="0" borderId="15" xfId="0" applyNumberFormat="1" applyBorder="1" applyAlignment="1" applyProtection="1"/>
    <xf numFmtId="4" fontId="0" fillId="0" borderId="16" xfId="0" applyNumberFormat="1" applyBorder="1" applyAlignment="1" applyProtection="1"/>
    <xf numFmtId="0" fontId="0" fillId="0" borderId="17" xfId="0" applyFont="1" applyBorder="1" applyAlignment="1" applyProtection="1"/>
    <xf numFmtId="4" fontId="0" fillId="0" borderId="18" xfId="0" applyNumberFormat="1" applyBorder="1" applyAlignment="1" applyProtection="1"/>
    <xf numFmtId="4" fontId="0" fillId="0" borderId="19" xfId="0" applyNumberFormat="1" applyBorder="1" applyAlignment="1" applyProtection="1"/>
    <xf numFmtId="0" fontId="3" fillId="5" borderId="10" xfId="0" applyFont="1" applyFill="1" applyBorder="1" applyAlignment="1" applyProtection="1"/>
    <xf numFmtId="4" fontId="3" fillId="5" borderId="12" xfId="0" applyNumberFormat="1" applyFont="1" applyFill="1" applyBorder="1" applyAlignment="1" applyProtection="1"/>
    <xf numFmtId="4" fontId="3" fillId="5" borderId="20" xfId="0" applyNumberFormat="1" applyFont="1" applyFill="1" applyBorder="1" applyAlignment="1" applyProtection="1"/>
    <xf numFmtId="0" fontId="6" fillId="6" borderId="10" xfId="0" applyFont="1" applyFill="1" applyBorder="1" applyAlignment="1" applyProtection="1">
      <alignment horizontal="center"/>
    </xf>
    <xf numFmtId="4" fontId="6" fillId="6" borderId="12" xfId="0" applyNumberFormat="1" applyFont="1" applyFill="1" applyBorder="1" applyAlignment="1" applyProtection="1"/>
    <xf numFmtId="4" fontId="6" fillId="6" borderId="20" xfId="0" applyNumberFormat="1" applyFont="1" applyFill="1" applyBorder="1" applyAlignment="1" applyProtection="1"/>
    <xf numFmtId="0" fontId="0" fillId="7" borderId="10" xfId="0" applyFont="1" applyFill="1" applyBorder="1" applyAlignment="1" applyProtection="1"/>
    <xf numFmtId="4" fontId="0" fillId="7" borderId="12" xfId="0" applyNumberFormat="1" applyFill="1" applyBorder="1" applyAlignment="1" applyProtection="1"/>
    <xf numFmtId="4" fontId="0" fillId="7" borderId="20" xfId="0" applyNumberFormat="1" applyFill="1" applyBorder="1" applyAlignment="1" applyProtection="1"/>
    <xf numFmtId="4" fontId="0" fillId="0" borderId="0" xfId="0" applyNumberFormat="1" applyAlignment="1" applyProtection="1"/>
    <xf numFmtId="4" fontId="0" fillId="0" borderId="8" xfId="0" applyNumberFormat="1" applyBorder="1" applyAlignment="1" applyProtection="1"/>
    <xf numFmtId="4" fontId="0" fillId="0" borderId="9" xfId="0" applyNumberFormat="1" applyBorder="1" applyAlignment="1" applyProtection="1"/>
    <xf numFmtId="4" fontId="0" fillId="0" borderId="21" xfId="0" applyNumberFormat="1" applyBorder="1" applyAlignment="1" applyProtection="1"/>
    <xf numFmtId="4" fontId="3" fillId="5" borderId="2" xfId="0" applyNumberFormat="1" applyFont="1" applyFill="1" applyBorder="1" applyAlignment="1" applyProtection="1"/>
    <xf numFmtId="4" fontId="3" fillId="5" borderId="11" xfId="0" applyNumberFormat="1" applyFont="1" applyFill="1" applyBorder="1" applyAlignment="1" applyProtection="1"/>
    <xf numFmtId="0" fontId="3" fillId="8" borderId="22" xfId="0" applyFont="1" applyFill="1" applyBorder="1" applyAlignment="1" applyProtection="1"/>
    <xf numFmtId="4" fontId="3" fillId="8" borderId="23" xfId="0" applyNumberFormat="1" applyFont="1" applyFill="1" applyBorder="1" applyAlignment="1" applyProtection="1"/>
    <xf numFmtId="4" fontId="3" fillId="8" borderId="24" xfId="0" applyNumberFormat="1" applyFont="1" applyFill="1" applyBorder="1" applyAlignment="1" applyProtection="1"/>
    <xf numFmtId="4" fontId="3" fillId="8" borderId="25" xfId="0" applyNumberFormat="1" applyFont="1" applyFill="1" applyBorder="1" applyAlignment="1" applyProtection="1"/>
    <xf numFmtId="0" fontId="3" fillId="9" borderId="10" xfId="0" applyFont="1" applyFill="1" applyBorder="1" applyAlignment="1" applyProtection="1"/>
    <xf numFmtId="4" fontId="3" fillId="9" borderId="12" xfId="0" applyNumberFormat="1" applyFont="1" applyFill="1" applyBorder="1" applyAlignment="1" applyProtection="1"/>
    <xf numFmtId="4" fontId="3" fillId="9" borderId="2" xfId="0" applyNumberFormat="1" applyFont="1" applyFill="1" applyBorder="1" applyAlignment="1" applyProtection="1"/>
    <xf numFmtId="4" fontId="3" fillId="9" borderId="11" xfId="0" applyNumberFormat="1" applyFont="1" applyFill="1" applyBorder="1" applyAlignment="1" applyProtection="1"/>
    <xf numFmtId="0" fontId="7" fillId="0" borderId="0" xfId="0" applyFont="1" applyAlignment="1" applyProtection="1"/>
    <xf numFmtId="4" fontId="3" fillId="8" borderId="26" xfId="0" applyNumberFormat="1" applyFont="1" applyFill="1" applyBorder="1" applyAlignment="1" applyProtection="1"/>
    <xf numFmtId="4" fontId="3" fillId="9" borderId="1" xfId="0" applyNumberFormat="1" applyFont="1" applyFill="1" applyBorder="1" applyAlignment="1" applyProtection="1"/>
    <xf numFmtId="164" fontId="0" fillId="0" borderId="0" xfId="0" applyNumberFormat="1" applyAlignment="1" applyProtection="1"/>
    <xf numFmtId="0" fontId="8" fillId="0" borderId="27" xfId="0" applyFont="1" applyBorder="1" applyAlignment="1" applyProtection="1"/>
    <xf numFmtId="0" fontId="8" fillId="0" borderId="28" xfId="0" applyFont="1" applyBorder="1" applyAlignment="1" applyProtection="1"/>
    <xf numFmtId="164" fontId="8" fillId="10" borderId="28" xfId="0" applyNumberFormat="1" applyFont="1" applyFill="1" applyBorder="1" applyAlignment="1" applyProtection="1"/>
    <xf numFmtId="164" fontId="8" fillId="0" borderId="28" xfId="0" applyNumberFormat="1" applyFont="1" applyBorder="1" applyAlignment="1" applyProtection="1"/>
    <xf numFmtId="0" fontId="8" fillId="11" borderId="28" xfId="0" applyFont="1" applyFill="1" applyBorder="1" applyAlignment="1" applyProtection="1"/>
    <xf numFmtId="0" fontId="8" fillId="0" borderId="29" xfId="0" applyFont="1" applyBorder="1" applyAlignment="1" applyProtection="1"/>
    <xf numFmtId="0" fontId="9" fillId="0" borderId="0" xfId="0" applyFont="1" applyAlignment="1" applyProtection="1"/>
    <xf numFmtId="165" fontId="0" fillId="0" borderId="0" xfId="0" applyNumberFormat="1" applyAlignment="1" applyProtection="1"/>
    <xf numFmtId="166" fontId="3" fillId="10" borderId="0" xfId="0" applyNumberFormat="1" applyFont="1" applyFill="1" applyAlignment="1" applyProtection="1"/>
    <xf numFmtId="164" fontId="6" fillId="0" borderId="0" xfId="0" applyNumberFormat="1" applyFont="1" applyAlignment="1" applyProtection="1"/>
    <xf numFmtId="166" fontId="3" fillId="11" borderId="0" xfId="0" applyNumberFormat="1" applyFont="1" applyFill="1" applyAlignment="1" applyProtection="1"/>
    <xf numFmtId="166" fontId="0" fillId="0" borderId="0" xfId="0" applyNumberFormat="1" applyAlignment="1" applyProtection="1"/>
    <xf numFmtId="0" fontId="8" fillId="0" borderId="29" xfId="0" applyFont="1" applyBorder="1" applyAlignment="1" applyProtection="1"/>
    <xf numFmtId="164" fontId="9" fillId="0" borderId="0" xfId="0" applyNumberFormat="1" applyFont="1" applyAlignment="1" applyProtection="1"/>
    <xf numFmtId="164" fontId="10" fillId="0" borderId="0" xfId="0" applyNumberFormat="1" applyFont="1" applyAlignment="1" applyProtection="1"/>
    <xf numFmtId="0" fontId="11" fillId="0" borderId="27" xfId="0" applyFont="1" applyBorder="1" applyAlignment="1" applyProtection="1"/>
    <xf numFmtId="0" fontId="11" fillId="0" borderId="29" xfId="0" applyFont="1" applyBorder="1" applyAlignment="1" applyProtection="1"/>
    <xf numFmtId="0" fontId="8" fillId="0" borderId="0" xfId="0" applyFont="1" applyAlignment="1" applyProtection="1"/>
    <xf numFmtId="167" fontId="12" fillId="0" borderId="0" xfId="1" applyFont="1" applyBorder="1" applyAlignment="1" applyProtection="1"/>
    <xf numFmtId="167" fontId="0" fillId="0" borderId="0" xfId="1" applyFont="1" applyBorder="1" applyAlignment="1" applyProtection="1"/>
    <xf numFmtId="167" fontId="9" fillId="0" borderId="0" xfId="1" applyFont="1" applyBorder="1" applyAlignment="1" applyProtection="1"/>
    <xf numFmtId="167" fontId="1" fillId="0" borderId="0" xfId="1" applyFont="1" applyBorder="1" applyAlignment="1" applyProtection="1"/>
    <xf numFmtId="0" fontId="13" fillId="0" borderId="0" xfId="0" applyFont="1" applyAlignment="1" applyProtection="1"/>
    <xf numFmtId="0" fontId="14" fillId="0" borderId="0" xfId="0" applyFont="1" applyAlignment="1" applyProtection="1"/>
    <xf numFmtId="0" fontId="15" fillId="0" borderId="0" xfId="0" applyFont="1" applyAlignment="1" applyProtection="1"/>
    <xf numFmtId="0" fontId="16" fillId="0" borderId="0" xfId="2" applyFont="1" applyBorder="1" applyAlignment="1" applyProtection="1"/>
    <xf numFmtId="167" fontId="17" fillId="0" borderId="0" xfId="1"/>
  </cellXfs>
  <cellStyles count="3">
    <cellStyle name="Lien hypertexte" xfId="2" builtinId="8"/>
    <cellStyle name="Monétaire" xfId="1" builtin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2CC"/>
      <rgbColor rgb="FFEDEDED"/>
      <rgbColor rgb="FF660066"/>
      <rgbColor rgb="FFFF8080"/>
      <rgbColor rgb="FF0563C1"/>
      <rgbColor rgb="FFC5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BE5D6"/>
      <rgbColor rgb="FF99CCFF"/>
      <rgbColor rgb="FFF4B183"/>
      <rgbColor rgb="FFCC99FF"/>
      <rgbColor rgb="FFFEE599"/>
      <rgbColor rgb="FF3366FF"/>
      <rgbColor rgb="FF33CCCC"/>
      <rgbColor rgb="FF99CC00"/>
      <rgbColor rgb="FFF1C232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12" displayName="Tableau12" ref="A2:G8" totalsRowShown="0">
  <autoFilter ref="A2:G8" xr:uid="{00000000-0009-0000-0100-000001000000}"/>
  <tableColumns count="7">
    <tableColumn id="1" xr3:uid="{00000000-0010-0000-0000-000001000000}" name="Tranche"/>
    <tableColumn id="2" xr3:uid="{00000000-0010-0000-0000-000002000000}" name="Nb de FF et SS"/>
    <tableColumn id="3" xr3:uid="{00000000-0010-0000-0000-000003000000}" name="% "/>
    <tableColumn id="4" xr3:uid="{00000000-0010-0000-0000-000004000000}" name="Montant tranche Affiliés"/>
    <tableColumn id="5" xr3:uid="{00000000-0010-0000-0000-000005000000}" name="Montant Total"/>
    <tableColumn id="6" xr3:uid="{00000000-0010-0000-0000-000006000000}" name="Cotisation Globale"/>
    <tableColumn id="7" xr3:uid="{00000000-0010-0000-0000-000007000000}" name="Total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au2" displayName="Tableau2" ref="A4:C9" totalsRowShown="0">
  <autoFilter ref="A4:C9" xr:uid="{00000000-0009-0000-0100-000002000000}"/>
  <tableColumns count="3">
    <tableColumn id="1" xr3:uid="{00000000-0010-0000-0100-000001000000}" name="Fraction revenu imposable ( pour une part) "/>
    <tableColumn id="2" xr3:uid="{00000000-0010-0000-0100-000002000000}" name="Taux d'imposition"/>
    <tableColumn id="3" xr3:uid="{00000000-0010-0000-0100-000003000000}" name="Tranche cotisatio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https://simulateur-ir-ifi.impots.gouv.fr/calcul_impot/2023/simplifie/index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topLeftCell="A21" zoomScale="125" zoomScaleNormal="125" workbookViewId="0">
      <selection activeCell="E31" sqref="E31"/>
    </sheetView>
  </sheetViews>
  <sheetFormatPr baseColWidth="10" defaultColWidth="11.42578125" defaultRowHeight="15" x14ac:dyDescent="0.25"/>
  <cols>
    <col min="1" max="1" width="20.85546875" style="1" customWidth="1"/>
    <col min="2" max="2" width="15.7109375" style="1" customWidth="1"/>
    <col min="3" max="3" width="7.140625" style="1" customWidth="1"/>
  </cols>
  <sheetData>
    <row r="1" spans="1:4" ht="15.75" x14ac:dyDescent="0.25">
      <c r="A1" s="2" t="s">
        <v>0</v>
      </c>
      <c r="B1" s="2" t="s">
        <v>1</v>
      </c>
      <c r="C1" s="1" t="s">
        <v>2</v>
      </c>
    </row>
    <row r="2" spans="1:4" ht="15.75" x14ac:dyDescent="0.25">
      <c r="A2" s="3" t="s">
        <v>3</v>
      </c>
      <c r="B2" s="3" t="s">
        <v>4</v>
      </c>
      <c r="C2" s="1">
        <v>3</v>
      </c>
      <c r="D2" s="1" t="s">
        <v>5</v>
      </c>
    </row>
    <row r="3" spans="1:4" ht="15.75" x14ac:dyDescent="0.25">
      <c r="A3" s="3" t="s">
        <v>6</v>
      </c>
      <c r="B3" s="3" t="s">
        <v>7</v>
      </c>
      <c r="C3" s="1">
        <v>3</v>
      </c>
    </row>
    <row r="4" spans="1:4" ht="15.75" x14ac:dyDescent="0.25">
      <c r="A4" s="3" t="s">
        <v>8</v>
      </c>
      <c r="B4" s="3" t="s">
        <v>9</v>
      </c>
      <c r="C4" s="1">
        <v>3</v>
      </c>
    </row>
    <row r="5" spans="1:4" ht="15.75" x14ac:dyDescent="0.25">
      <c r="A5" s="3" t="s">
        <v>10</v>
      </c>
      <c r="B5" s="3" t="s">
        <v>11</v>
      </c>
      <c r="C5" s="1">
        <v>3</v>
      </c>
    </row>
    <row r="6" spans="1:4" ht="15.75" x14ac:dyDescent="0.25">
      <c r="A6" s="3" t="s">
        <v>12</v>
      </c>
      <c r="B6" s="3" t="s">
        <v>13</v>
      </c>
      <c r="C6" s="1">
        <v>4</v>
      </c>
    </row>
    <row r="7" spans="1:4" ht="15.75" x14ac:dyDescent="0.25">
      <c r="A7" s="3" t="s">
        <v>14</v>
      </c>
      <c r="B7" s="3" t="s">
        <v>15</v>
      </c>
    </row>
    <row r="8" spans="1:4" ht="15.75" x14ac:dyDescent="0.25">
      <c r="A8" s="3" t="s">
        <v>16</v>
      </c>
      <c r="B8" s="3" t="s">
        <v>15</v>
      </c>
      <c r="C8" s="1">
        <v>5</v>
      </c>
    </row>
    <row r="9" spans="1:4" ht="15.75" x14ac:dyDescent="0.25">
      <c r="A9" s="3" t="s">
        <v>17</v>
      </c>
      <c r="B9" s="3" t="s">
        <v>18</v>
      </c>
      <c r="C9" s="1">
        <v>3</v>
      </c>
    </row>
    <row r="10" spans="1:4" ht="15.75" x14ac:dyDescent="0.25">
      <c r="A10" s="3" t="s">
        <v>19</v>
      </c>
      <c r="B10" s="3" t="s">
        <v>20</v>
      </c>
      <c r="C10" s="1">
        <v>4</v>
      </c>
    </row>
    <row r="11" spans="1:4" ht="15.75" x14ac:dyDescent="0.25">
      <c r="A11" s="3" t="s">
        <v>21</v>
      </c>
      <c r="B11" s="3" t="s">
        <v>22</v>
      </c>
      <c r="C11" s="1">
        <v>3</v>
      </c>
    </row>
    <row r="12" spans="1:4" ht="15.75" x14ac:dyDescent="0.25">
      <c r="A12" s="3" t="s">
        <v>23</v>
      </c>
      <c r="B12" s="3" t="s">
        <v>24</v>
      </c>
      <c r="C12" s="1">
        <v>1</v>
      </c>
    </row>
    <row r="13" spans="1:4" ht="15.75" x14ac:dyDescent="0.25">
      <c r="A13" s="3" t="s">
        <v>25</v>
      </c>
      <c r="B13" s="3" t="s">
        <v>26</v>
      </c>
      <c r="C13" s="1">
        <v>3</v>
      </c>
    </row>
    <row r="14" spans="1:4" ht="15.75" x14ac:dyDescent="0.25">
      <c r="A14" s="3" t="s">
        <v>27</v>
      </c>
      <c r="B14" s="3" t="s">
        <v>28</v>
      </c>
      <c r="C14" s="1">
        <v>3</v>
      </c>
    </row>
    <row r="15" spans="1:4" ht="15.75" x14ac:dyDescent="0.25">
      <c r="A15" s="3" t="s">
        <v>29</v>
      </c>
      <c r="B15" s="3" t="s">
        <v>13</v>
      </c>
      <c r="C15" s="1">
        <v>4</v>
      </c>
    </row>
    <row r="16" spans="1:4" ht="15.75" x14ac:dyDescent="0.25">
      <c r="A16" s="3" t="s">
        <v>30</v>
      </c>
      <c r="B16" s="3" t="s">
        <v>31</v>
      </c>
      <c r="C16" s="1">
        <v>3</v>
      </c>
    </row>
    <row r="17" spans="1:4" ht="15.75" x14ac:dyDescent="0.25">
      <c r="A17" s="3" t="s">
        <v>32</v>
      </c>
      <c r="B17" s="3" t="s">
        <v>33</v>
      </c>
      <c r="C17" s="1">
        <v>3</v>
      </c>
      <c r="D17" s="1" t="s">
        <v>5</v>
      </c>
    </row>
    <row r="18" spans="1:4" ht="15.75" x14ac:dyDescent="0.25">
      <c r="A18" s="3" t="s">
        <v>34</v>
      </c>
      <c r="B18" s="3" t="s">
        <v>35</v>
      </c>
      <c r="C18" s="1">
        <v>3</v>
      </c>
    </row>
    <row r="19" spans="1:4" ht="15.75" x14ac:dyDescent="0.25">
      <c r="A19" s="3" t="s">
        <v>36</v>
      </c>
      <c r="B19" s="3" t="s">
        <v>37</v>
      </c>
      <c r="C19" s="1">
        <v>3</v>
      </c>
    </row>
    <row r="20" spans="1:4" ht="15.75" x14ac:dyDescent="0.25">
      <c r="A20" s="3" t="s">
        <v>38</v>
      </c>
      <c r="B20" s="3" t="s">
        <v>39</v>
      </c>
      <c r="C20" s="1">
        <v>3</v>
      </c>
    </row>
    <row r="21" spans="1:4" ht="15.75" x14ac:dyDescent="0.25">
      <c r="A21" s="3" t="s">
        <v>40</v>
      </c>
      <c r="B21" s="3" t="s">
        <v>41</v>
      </c>
      <c r="C21" s="1">
        <v>3</v>
      </c>
    </row>
    <row r="22" spans="1:4" ht="15.75" x14ac:dyDescent="0.25">
      <c r="A22" s="3" t="s">
        <v>42</v>
      </c>
      <c r="B22" s="3" t="s">
        <v>43</v>
      </c>
      <c r="C22" s="1">
        <v>3</v>
      </c>
    </row>
    <row r="23" spans="1:4" ht="15.75" x14ac:dyDescent="0.25">
      <c r="A23" s="3" t="s">
        <v>44</v>
      </c>
      <c r="B23" s="3" t="s">
        <v>31</v>
      </c>
    </row>
    <row r="24" spans="1:4" ht="15.75" x14ac:dyDescent="0.25">
      <c r="A24" s="3" t="s">
        <v>45</v>
      </c>
      <c r="B24" s="3" t="s">
        <v>46</v>
      </c>
      <c r="C24" s="1">
        <v>3</v>
      </c>
    </row>
    <row r="25" spans="1:4" ht="15.75" x14ac:dyDescent="0.25">
      <c r="A25" s="3" t="s">
        <v>47</v>
      </c>
      <c r="B25" s="3" t="s">
        <v>48</v>
      </c>
      <c r="C25" s="1">
        <v>3</v>
      </c>
    </row>
    <row r="26" spans="1:4" ht="15.75" x14ac:dyDescent="0.25">
      <c r="A26" s="3" t="s">
        <v>49</v>
      </c>
      <c r="B26" s="3"/>
      <c r="C26" s="1">
        <v>3</v>
      </c>
    </row>
    <row r="27" spans="1:4" ht="15.75" x14ac:dyDescent="0.25">
      <c r="A27" s="3" t="s">
        <v>50</v>
      </c>
      <c r="B27" s="3"/>
      <c r="C27" s="1">
        <v>3</v>
      </c>
    </row>
    <row r="28" spans="1:4" ht="15.75" x14ac:dyDescent="0.25">
      <c r="A28" s="3" t="s">
        <v>51</v>
      </c>
      <c r="B28" s="3"/>
      <c r="C28" s="1">
        <v>3</v>
      </c>
    </row>
    <row r="29" spans="1:4" ht="15.75" x14ac:dyDescent="0.25">
      <c r="A29" s="3" t="s">
        <v>52</v>
      </c>
      <c r="B29" s="3"/>
      <c r="C29" s="1">
        <v>3</v>
      </c>
    </row>
    <row r="30" spans="1:4" ht="15.75" x14ac:dyDescent="0.25">
      <c r="A30" s="3" t="s">
        <v>53</v>
      </c>
      <c r="B30" s="3"/>
      <c r="C30" s="1">
        <v>3</v>
      </c>
    </row>
    <row r="33" spans="1:3" ht="15.75" x14ac:dyDescent="0.25">
      <c r="A33" s="3" t="s">
        <v>54</v>
      </c>
      <c r="B33" s="1">
        <v>1</v>
      </c>
      <c r="C33" s="1">
        <f>COUNTIF(C$2:C$30,B33)</f>
        <v>1</v>
      </c>
    </row>
    <row r="34" spans="1:3" ht="15.75" x14ac:dyDescent="0.25">
      <c r="A34" s="3" t="s">
        <v>55</v>
      </c>
      <c r="B34" s="1">
        <v>2</v>
      </c>
      <c r="C34" s="1">
        <f>COUNTIF(C$2:C$30,B34)</f>
        <v>0</v>
      </c>
    </row>
    <row r="35" spans="1:3" ht="15.75" x14ac:dyDescent="0.25">
      <c r="A35" s="3" t="s">
        <v>56</v>
      </c>
      <c r="B35" s="1">
        <v>3</v>
      </c>
      <c r="C35" s="1">
        <f>COUNTIF(C$2:C$30,B35)</f>
        <v>22</v>
      </c>
    </row>
    <row r="36" spans="1:3" ht="15.75" x14ac:dyDescent="0.25">
      <c r="A36" s="3" t="s">
        <v>57</v>
      </c>
      <c r="B36" s="1">
        <v>4</v>
      </c>
      <c r="C36" s="1">
        <f>COUNTIF(C$2:C$30,B36)</f>
        <v>3</v>
      </c>
    </row>
    <row r="37" spans="1:3" ht="15.75" x14ac:dyDescent="0.25">
      <c r="A37" s="3" t="s">
        <v>58</v>
      </c>
      <c r="B37" s="1">
        <v>5</v>
      </c>
      <c r="C37" s="1">
        <f>COUNTIF(C$2:C$30,B37)</f>
        <v>1</v>
      </c>
    </row>
    <row r="39" spans="1:3" x14ac:dyDescent="0.25">
      <c r="B39" s="1" t="s">
        <v>59</v>
      </c>
      <c r="C39" s="1">
        <f>SUM(C33:C37)</f>
        <v>27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41"/>
  <sheetViews>
    <sheetView zoomScale="125" zoomScaleNormal="125" workbookViewId="0">
      <selection activeCell="A10" sqref="A10:A19"/>
    </sheetView>
  </sheetViews>
  <sheetFormatPr baseColWidth="10" defaultColWidth="11.42578125" defaultRowHeight="15" x14ac:dyDescent="0.25"/>
  <cols>
    <col min="1" max="1" width="32.140625" style="1" customWidth="1"/>
    <col min="2" max="2" width="8" style="1" customWidth="1"/>
    <col min="3" max="3" width="14" style="1" customWidth="1"/>
    <col min="4" max="7" width="8" style="1" customWidth="1"/>
    <col min="8" max="9" width="8.85546875" style="1" customWidth="1"/>
  </cols>
  <sheetData>
    <row r="2" spans="1:9" x14ac:dyDescent="0.25">
      <c r="A2" s="4" t="s">
        <v>60</v>
      </c>
      <c r="B2" s="5">
        <v>2023</v>
      </c>
      <c r="C2" s="5">
        <v>2024</v>
      </c>
      <c r="D2" s="5">
        <v>2025</v>
      </c>
      <c r="E2" s="5">
        <v>2026</v>
      </c>
      <c r="F2" s="5">
        <v>2027</v>
      </c>
      <c r="G2" s="5">
        <v>2028</v>
      </c>
      <c r="H2" s="5">
        <v>2029</v>
      </c>
      <c r="I2" s="5">
        <v>2030</v>
      </c>
    </row>
    <row r="3" spans="1:9" ht="8.25" customHeight="1" x14ac:dyDescent="0.25">
      <c r="A3" s="6"/>
      <c r="B3" s="6">
        <f>'Ne Pas transmettre  Tranches '!C33</f>
        <v>1</v>
      </c>
      <c r="C3" s="6"/>
      <c r="D3" s="6"/>
      <c r="E3" s="6"/>
      <c r="F3" s="6"/>
      <c r="G3" s="6"/>
      <c r="H3" s="6"/>
      <c r="I3" s="6"/>
    </row>
    <row r="4" spans="1:9" x14ac:dyDescent="0.25">
      <c r="A4" s="7" t="s">
        <v>61</v>
      </c>
      <c r="B4" s="8">
        <v>20</v>
      </c>
      <c r="C4" s="9">
        <v>21</v>
      </c>
      <c r="D4" s="9">
        <v>23</v>
      </c>
      <c r="E4" s="9">
        <v>25</v>
      </c>
      <c r="F4" s="9">
        <v>26</v>
      </c>
      <c r="G4" s="9">
        <v>27</v>
      </c>
      <c r="H4" s="9">
        <v>28</v>
      </c>
      <c r="I4" s="10">
        <v>30</v>
      </c>
    </row>
    <row r="5" spans="1:9" x14ac:dyDescent="0.25">
      <c r="A5" s="11" t="s">
        <v>62</v>
      </c>
      <c r="B5" s="12">
        <v>4</v>
      </c>
      <c r="C5" s="13">
        <v>6</v>
      </c>
      <c r="D5" s="13">
        <v>7</v>
      </c>
      <c r="E5" s="13">
        <v>6</v>
      </c>
      <c r="F5" s="13">
        <v>6</v>
      </c>
      <c r="G5" s="13">
        <v>6</v>
      </c>
      <c r="H5" s="13">
        <v>6</v>
      </c>
      <c r="I5" s="13">
        <v>6</v>
      </c>
    </row>
    <row r="6" spans="1:9" x14ac:dyDescent="0.25">
      <c r="A6" s="14" t="s">
        <v>63</v>
      </c>
      <c r="B6" s="15">
        <f t="shared" ref="B6:I6" si="0">SUM(B4:B5)</f>
        <v>24</v>
      </c>
      <c r="C6" s="16">
        <f t="shared" si="0"/>
        <v>27</v>
      </c>
      <c r="D6" s="16">
        <f t="shared" si="0"/>
        <v>30</v>
      </c>
      <c r="E6" s="16">
        <f t="shared" si="0"/>
        <v>31</v>
      </c>
      <c r="F6" s="16">
        <f t="shared" si="0"/>
        <v>32</v>
      </c>
      <c r="G6" s="16">
        <f t="shared" si="0"/>
        <v>33</v>
      </c>
      <c r="H6" s="16">
        <f t="shared" si="0"/>
        <v>34</v>
      </c>
      <c r="I6" s="17">
        <f t="shared" si="0"/>
        <v>36</v>
      </c>
    </row>
    <row r="7" spans="1:9" ht="5.25" customHeight="1" x14ac:dyDescent="0.25"/>
    <row r="8" spans="1:9" x14ac:dyDescent="0.25">
      <c r="A8" s="18" t="s">
        <v>64</v>
      </c>
      <c r="B8" s="19">
        <v>20</v>
      </c>
      <c r="C8" s="20">
        <v>20</v>
      </c>
      <c r="D8" s="20">
        <v>20</v>
      </c>
      <c r="E8" s="20">
        <v>20</v>
      </c>
      <c r="F8" s="20">
        <v>20</v>
      </c>
      <c r="G8" s="20">
        <v>20</v>
      </c>
      <c r="H8" s="20">
        <v>20</v>
      </c>
      <c r="I8" s="21">
        <v>20</v>
      </c>
    </row>
    <row r="9" spans="1:9" ht="6" customHeight="1" x14ac:dyDescent="0.25"/>
    <row r="10" spans="1:9" x14ac:dyDescent="0.25">
      <c r="A10" s="7" t="s">
        <v>65</v>
      </c>
      <c r="B10" s="22">
        <v>1066</v>
      </c>
      <c r="C10" s="23">
        <v>0</v>
      </c>
      <c r="D10" s="23">
        <v>100</v>
      </c>
      <c r="E10" s="23">
        <v>120</v>
      </c>
      <c r="F10" s="23">
        <v>140</v>
      </c>
      <c r="G10" s="23">
        <v>160</v>
      </c>
      <c r="H10" s="23">
        <v>180</v>
      </c>
      <c r="I10" s="24">
        <v>200</v>
      </c>
    </row>
    <row r="11" spans="1:9" x14ac:dyDescent="0.25">
      <c r="A11" s="25" t="s">
        <v>66</v>
      </c>
      <c r="B11" s="26">
        <f t="shared" ref="B11:I11" si="1">B8*100</f>
        <v>2000</v>
      </c>
      <c r="C11" s="26">
        <f t="shared" si="1"/>
        <v>2000</v>
      </c>
      <c r="D11" s="26">
        <f t="shared" si="1"/>
        <v>2000</v>
      </c>
      <c r="E11" s="26">
        <f t="shared" si="1"/>
        <v>2000</v>
      </c>
      <c r="F11" s="26">
        <f t="shared" si="1"/>
        <v>2000</v>
      </c>
      <c r="G11" s="26">
        <f t="shared" si="1"/>
        <v>2000</v>
      </c>
      <c r="H11" s="26">
        <f t="shared" si="1"/>
        <v>2000</v>
      </c>
      <c r="I11" s="26">
        <f t="shared" si="1"/>
        <v>2000</v>
      </c>
    </row>
    <row r="12" spans="1:9" x14ac:dyDescent="0.25">
      <c r="A12" s="25" t="s">
        <v>67</v>
      </c>
      <c r="B12" s="26">
        <f>140/4</f>
        <v>35</v>
      </c>
      <c r="C12" s="27">
        <v>30</v>
      </c>
      <c r="D12" s="27">
        <v>140</v>
      </c>
      <c r="E12" s="27">
        <v>140</v>
      </c>
      <c r="F12" s="27">
        <v>140</v>
      </c>
      <c r="G12" s="27">
        <v>140</v>
      </c>
      <c r="H12" s="27">
        <v>140</v>
      </c>
      <c r="I12" s="28">
        <v>140</v>
      </c>
    </row>
    <row r="13" spans="1:9" x14ac:dyDescent="0.25">
      <c r="A13" s="25" t="s">
        <v>68</v>
      </c>
      <c r="B13" s="26">
        <v>500</v>
      </c>
      <c r="C13" s="27">
        <v>500</v>
      </c>
      <c r="D13" s="27">
        <v>500</v>
      </c>
      <c r="E13" s="27">
        <v>500</v>
      </c>
      <c r="F13" s="27">
        <v>500</v>
      </c>
      <c r="G13" s="27">
        <v>500</v>
      </c>
      <c r="H13" s="27">
        <v>500</v>
      </c>
      <c r="I13" s="28">
        <v>500</v>
      </c>
    </row>
    <row r="14" spans="1:9" x14ac:dyDescent="0.25">
      <c r="A14" s="25" t="s">
        <v>69</v>
      </c>
      <c r="B14" s="26">
        <v>190</v>
      </c>
      <c r="C14" s="27">
        <f>190+35+80</f>
        <v>305</v>
      </c>
      <c r="D14" s="27">
        <v>190</v>
      </c>
      <c r="E14" s="27">
        <v>190</v>
      </c>
      <c r="F14" s="27">
        <v>190</v>
      </c>
      <c r="G14" s="27">
        <v>190</v>
      </c>
      <c r="H14" s="27">
        <v>190</v>
      </c>
      <c r="I14" s="28">
        <v>190</v>
      </c>
    </row>
    <row r="15" spans="1:9" x14ac:dyDescent="0.25">
      <c r="A15" s="25" t="s">
        <v>70</v>
      </c>
      <c r="B15" s="26">
        <v>10</v>
      </c>
      <c r="C15" s="27">
        <v>30</v>
      </c>
      <c r="D15" s="27">
        <v>35</v>
      </c>
      <c r="E15" s="27">
        <v>40</v>
      </c>
      <c r="F15" s="27">
        <v>40</v>
      </c>
      <c r="G15" s="27">
        <v>40</v>
      </c>
      <c r="H15" s="27">
        <v>40</v>
      </c>
      <c r="I15" s="28">
        <v>40</v>
      </c>
    </row>
    <row r="16" spans="1:9" x14ac:dyDescent="0.25">
      <c r="A16" s="25" t="s">
        <v>71</v>
      </c>
      <c r="B16" s="26">
        <v>0</v>
      </c>
      <c r="C16" s="27">
        <v>90</v>
      </c>
      <c r="D16" s="27">
        <v>90</v>
      </c>
      <c r="E16" s="27">
        <v>90</v>
      </c>
      <c r="F16" s="27">
        <v>90</v>
      </c>
      <c r="G16" s="27">
        <v>90</v>
      </c>
      <c r="H16" s="27">
        <v>90</v>
      </c>
      <c r="I16" s="28">
        <v>90</v>
      </c>
    </row>
    <row r="17" spans="1:9" x14ac:dyDescent="0.25">
      <c r="A17" s="25" t="s">
        <v>72</v>
      </c>
      <c r="B17" s="26">
        <f>5*3</f>
        <v>15</v>
      </c>
      <c r="C17" s="27">
        <f>90</f>
        <v>90</v>
      </c>
      <c r="D17" s="27">
        <f t="shared" ref="D17:I17" si="2">5*12</f>
        <v>60</v>
      </c>
      <c r="E17" s="27">
        <f t="shared" si="2"/>
        <v>60</v>
      </c>
      <c r="F17" s="27">
        <f t="shared" si="2"/>
        <v>60</v>
      </c>
      <c r="G17" s="27">
        <f t="shared" si="2"/>
        <v>60</v>
      </c>
      <c r="H17" s="27">
        <f t="shared" si="2"/>
        <v>60</v>
      </c>
      <c r="I17" s="28">
        <f t="shared" si="2"/>
        <v>60</v>
      </c>
    </row>
    <row r="18" spans="1:9" x14ac:dyDescent="0.25">
      <c r="A18" s="25" t="s">
        <v>73</v>
      </c>
      <c r="B18" s="26">
        <v>600</v>
      </c>
      <c r="C18" s="27">
        <f>40*5+200</f>
        <v>400</v>
      </c>
      <c r="D18" s="27">
        <v>80</v>
      </c>
      <c r="E18" s="27">
        <v>100</v>
      </c>
      <c r="F18" s="27">
        <v>120</v>
      </c>
      <c r="G18" s="27">
        <v>140</v>
      </c>
      <c r="H18" s="27">
        <v>160</v>
      </c>
      <c r="I18" s="28">
        <v>180</v>
      </c>
    </row>
    <row r="19" spans="1:9" x14ac:dyDescent="0.25">
      <c r="A19" s="29" t="s">
        <v>74</v>
      </c>
      <c r="B19" s="30">
        <f t="shared" ref="B19:I19" si="3">B6*20</f>
        <v>480</v>
      </c>
      <c r="C19" s="30">
        <f t="shared" si="3"/>
        <v>540</v>
      </c>
      <c r="D19" s="30">
        <f t="shared" si="3"/>
        <v>600</v>
      </c>
      <c r="E19" s="30">
        <f t="shared" si="3"/>
        <v>620</v>
      </c>
      <c r="F19" s="30">
        <f t="shared" si="3"/>
        <v>640</v>
      </c>
      <c r="G19" s="30">
        <f t="shared" si="3"/>
        <v>660</v>
      </c>
      <c r="H19" s="30">
        <f t="shared" si="3"/>
        <v>680</v>
      </c>
      <c r="I19" s="31">
        <f t="shared" si="3"/>
        <v>720</v>
      </c>
    </row>
    <row r="20" spans="1:9" x14ac:dyDescent="0.25">
      <c r="A20" s="32" t="s">
        <v>75</v>
      </c>
      <c r="B20" s="33">
        <f t="shared" ref="B20:I20" si="4">SUM(B10:B19)</f>
        <v>4896</v>
      </c>
      <c r="C20" s="33">
        <f t="shared" si="4"/>
        <v>3985</v>
      </c>
      <c r="D20" s="33">
        <f t="shared" si="4"/>
        <v>3795</v>
      </c>
      <c r="E20" s="33">
        <f t="shared" si="4"/>
        <v>3860</v>
      </c>
      <c r="F20" s="33">
        <f t="shared" si="4"/>
        <v>3920</v>
      </c>
      <c r="G20" s="33">
        <f t="shared" si="4"/>
        <v>3980</v>
      </c>
      <c r="H20" s="33">
        <f t="shared" si="4"/>
        <v>4040</v>
      </c>
      <c r="I20" s="34">
        <f t="shared" si="4"/>
        <v>4120</v>
      </c>
    </row>
    <row r="21" spans="1:9" x14ac:dyDescent="0.25">
      <c r="A21" s="35" t="s">
        <v>76</v>
      </c>
      <c r="B21" s="36">
        <f t="shared" ref="B21:I21" si="5">B4*(B32+B33)</f>
        <v>3514</v>
      </c>
      <c r="C21" s="36">
        <f t="shared" si="5"/>
        <v>3689.7</v>
      </c>
      <c r="D21" s="36">
        <f t="shared" si="5"/>
        <v>4041.1</v>
      </c>
      <c r="E21" s="36">
        <f t="shared" si="5"/>
        <v>4392.5</v>
      </c>
      <c r="F21" s="36">
        <f t="shared" si="5"/>
        <v>4568.2</v>
      </c>
      <c r="G21" s="36">
        <f t="shared" si="5"/>
        <v>4743.8999999999996</v>
      </c>
      <c r="H21" s="36">
        <f t="shared" si="5"/>
        <v>4919.5999999999995</v>
      </c>
      <c r="I21" s="37">
        <f t="shared" si="5"/>
        <v>5271</v>
      </c>
    </row>
    <row r="22" spans="1:9" x14ac:dyDescent="0.25">
      <c r="A22" s="38" t="s">
        <v>77</v>
      </c>
      <c r="B22" s="39">
        <f t="shared" ref="B22:I22" si="6">B20+B21</f>
        <v>8410</v>
      </c>
      <c r="C22" s="39">
        <f t="shared" si="6"/>
        <v>7674.7</v>
      </c>
      <c r="D22" s="39">
        <f t="shared" si="6"/>
        <v>7836.1</v>
      </c>
      <c r="E22" s="39">
        <f t="shared" si="6"/>
        <v>8252.5</v>
      </c>
      <c r="F22" s="39">
        <f t="shared" si="6"/>
        <v>8488.2000000000007</v>
      </c>
      <c r="G22" s="39">
        <f t="shared" si="6"/>
        <v>8723.9</v>
      </c>
      <c r="H22" s="39">
        <f t="shared" si="6"/>
        <v>8959.5999999999985</v>
      </c>
      <c r="I22" s="40">
        <f t="shared" si="6"/>
        <v>9391</v>
      </c>
    </row>
    <row r="23" spans="1:9" ht="6.75" customHeight="1" x14ac:dyDescent="0.25">
      <c r="B23" s="41"/>
      <c r="C23" s="41"/>
      <c r="D23" s="41"/>
      <c r="E23" s="41"/>
      <c r="F23" s="41"/>
      <c r="G23" s="41"/>
      <c r="H23" s="41"/>
      <c r="I23" s="41"/>
    </row>
    <row r="24" spans="1:9" x14ac:dyDescent="0.25">
      <c r="A24" s="7" t="s">
        <v>78</v>
      </c>
      <c r="B24" s="22">
        <v>800</v>
      </c>
      <c r="C24" s="23"/>
      <c r="D24" s="23"/>
      <c r="E24" s="23"/>
      <c r="F24" s="23"/>
      <c r="G24" s="23"/>
      <c r="H24" s="23"/>
      <c r="I24" s="24"/>
    </row>
    <row r="25" spans="1:9" x14ac:dyDescent="0.25">
      <c r="A25" s="25" t="s">
        <v>79</v>
      </c>
      <c r="B25" s="26">
        <f>100+100+200+300+300+50+50+200</f>
        <v>1300</v>
      </c>
      <c r="C25" s="27"/>
      <c r="D25" s="27"/>
      <c r="E25" s="27"/>
      <c r="F25" s="27"/>
      <c r="G25" s="27"/>
      <c r="H25" s="27"/>
      <c r="I25" s="28"/>
    </row>
    <row r="26" spans="1:9" x14ac:dyDescent="0.25">
      <c r="A26" s="11" t="s">
        <v>80</v>
      </c>
      <c r="B26" s="42">
        <f t="shared" ref="B26:I26" si="7">B27-B25-B24</f>
        <v>2796</v>
      </c>
      <c r="C26" s="43">
        <f t="shared" si="7"/>
        <v>3985</v>
      </c>
      <c r="D26" s="43">
        <f t="shared" si="7"/>
        <v>3795</v>
      </c>
      <c r="E26" s="43">
        <f t="shared" si="7"/>
        <v>3860</v>
      </c>
      <c r="F26" s="43">
        <f t="shared" si="7"/>
        <v>3920</v>
      </c>
      <c r="G26" s="43">
        <f t="shared" si="7"/>
        <v>3980</v>
      </c>
      <c r="H26" s="43">
        <f t="shared" si="7"/>
        <v>4040</v>
      </c>
      <c r="I26" s="44">
        <f t="shared" si="7"/>
        <v>4120</v>
      </c>
    </row>
    <row r="27" spans="1:9" x14ac:dyDescent="0.25">
      <c r="A27" s="32" t="s">
        <v>81</v>
      </c>
      <c r="B27" s="33">
        <f t="shared" ref="B27:I27" si="8">B20</f>
        <v>4896</v>
      </c>
      <c r="C27" s="45">
        <f t="shared" si="8"/>
        <v>3985</v>
      </c>
      <c r="D27" s="45">
        <f t="shared" si="8"/>
        <v>3795</v>
      </c>
      <c r="E27" s="45">
        <f t="shared" si="8"/>
        <v>3860</v>
      </c>
      <c r="F27" s="45">
        <f t="shared" si="8"/>
        <v>3920</v>
      </c>
      <c r="G27" s="45">
        <f t="shared" si="8"/>
        <v>3980</v>
      </c>
      <c r="H27" s="45">
        <f t="shared" si="8"/>
        <v>4040</v>
      </c>
      <c r="I27" s="46">
        <f t="shared" si="8"/>
        <v>4120</v>
      </c>
    </row>
    <row r="28" spans="1:9" x14ac:dyDescent="0.25">
      <c r="A28" s="35" t="s">
        <v>76</v>
      </c>
      <c r="B28" s="36">
        <f t="shared" ref="B28:I28" si="9">B4*(B32+B33)</f>
        <v>3514</v>
      </c>
      <c r="C28" s="36">
        <f t="shared" si="9"/>
        <v>3689.7</v>
      </c>
      <c r="D28" s="36">
        <f t="shared" si="9"/>
        <v>4041.1</v>
      </c>
      <c r="E28" s="36">
        <f t="shared" si="9"/>
        <v>4392.5</v>
      </c>
      <c r="F28" s="36">
        <f t="shared" si="9"/>
        <v>4568.2</v>
      </c>
      <c r="G28" s="36">
        <f t="shared" si="9"/>
        <v>4743.8999999999996</v>
      </c>
      <c r="H28" s="36">
        <f t="shared" si="9"/>
        <v>4919.5999999999995</v>
      </c>
      <c r="I28" s="37">
        <f t="shared" si="9"/>
        <v>5271</v>
      </c>
    </row>
    <row r="29" spans="1:9" x14ac:dyDescent="0.25">
      <c r="A29" s="38" t="s">
        <v>82</v>
      </c>
      <c r="B29" s="39">
        <f t="shared" ref="B29:I29" si="10">B27+B4*(B32+B33)</f>
        <v>8410</v>
      </c>
      <c r="C29" s="39">
        <f t="shared" si="10"/>
        <v>7674.7</v>
      </c>
      <c r="D29" s="39">
        <f t="shared" si="10"/>
        <v>7836.1</v>
      </c>
      <c r="E29" s="39">
        <f t="shared" si="10"/>
        <v>8252.5</v>
      </c>
      <c r="F29" s="39">
        <f t="shared" si="10"/>
        <v>8488.2000000000007</v>
      </c>
      <c r="G29" s="39">
        <f t="shared" si="10"/>
        <v>8723.9</v>
      </c>
      <c r="H29" s="39">
        <f t="shared" si="10"/>
        <v>8959.5999999999985</v>
      </c>
      <c r="I29" s="39">
        <f t="shared" si="10"/>
        <v>9391</v>
      </c>
    </row>
    <row r="30" spans="1:9" ht="6" customHeight="1" x14ac:dyDescent="0.25">
      <c r="B30" s="41"/>
      <c r="C30" s="41"/>
      <c r="D30" s="41"/>
      <c r="E30" s="41"/>
      <c r="F30" s="41"/>
      <c r="G30" s="41"/>
      <c r="H30" s="41"/>
      <c r="I30" s="41"/>
    </row>
    <row r="31" spans="1:9" x14ac:dyDescent="0.25">
      <c r="A31" s="47" t="s">
        <v>83</v>
      </c>
      <c r="B31" s="48">
        <f t="shared" ref="B31:I31" si="11">B26/B6</f>
        <v>116.5</v>
      </c>
      <c r="C31" s="49">
        <f t="shared" si="11"/>
        <v>147.59259259259258</v>
      </c>
      <c r="D31" s="49">
        <f t="shared" si="11"/>
        <v>126.5</v>
      </c>
      <c r="E31" s="49">
        <f t="shared" si="11"/>
        <v>124.51612903225806</v>
      </c>
      <c r="F31" s="49">
        <f t="shared" si="11"/>
        <v>122.5</v>
      </c>
      <c r="G31" s="49">
        <f t="shared" si="11"/>
        <v>120.60606060606061</v>
      </c>
      <c r="H31" s="49">
        <f t="shared" si="11"/>
        <v>118.82352941176471</v>
      </c>
      <c r="I31" s="50">
        <f t="shared" si="11"/>
        <v>114.44444444444444</v>
      </c>
    </row>
    <row r="32" spans="1:9" x14ac:dyDescent="0.25">
      <c r="A32" s="25" t="s">
        <v>84</v>
      </c>
      <c r="B32" s="27">
        <v>171.7</v>
      </c>
      <c r="C32" s="27">
        <v>171.7</v>
      </c>
      <c r="D32" s="27">
        <v>171.7</v>
      </c>
      <c r="E32" s="27">
        <v>171.7</v>
      </c>
      <c r="F32" s="27">
        <v>171.7</v>
      </c>
      <c r="G32" s="27">
        <v>171.7</v>
      </c>
      <c r="H32" s="27">
        <v>171.7</v>
      </c>
      <c r="I32" s="28">
        <v>171.7</v>
      </c>
    </row>
    <row r="33" spans="1:9" x14ac:dyDescent="0.25">
      <c r="A33" s="25" t="s">
        <v>85</v>
      </c>
      <c r="B33" s="27">
        <v>4</v>
      </c>
      <c r="C33" s="27">
        <v>4</v>
      </c>
      <c r="D33" s="27">
        <v>4</v>
      </c>
      <c r="E33" s="27">
        <v>4</v>
      </c>
      <c r="F33" s="27">
        <v>4</v>
      </c>
      <c r="G33" s="27">
        <v>4</v>
      </c>
      <c r="H33" s="27">
        <v>4</v>
      </c>
      <c r="I33" s="28">
        <v>4</v>
      </c>
    </row>
    <row r="34" spans="1:9" x14ac:dyDescent="0.25">
      <c r="A34" s="51" t="s">
        <v>86</v>
      </c>
      <c r="B34" s="52">
        <f t="shared" ref="B34:I34" si="12">SUM(B31:B33)</f>
        <v>292.2</v>
      </c>
      <c r="C34" s="53">
        <f t="shared" si="12"/>
        <v>323.29259259259254</v>
      </c>
      <c r="D34" s="53">
        <f t="shared" si="12"/>
        <v>302.2</v>
      </c>
      <c r="E34" s="53">
        <f t="shared" si="12"/>
        <v>300.21612903225804</v>
      </c>
      <c r="F34" s="53">
        <f t="shared" si="12"/>
        <v>298.2</v>
      </c>
      <c r="G34" s="53">
        <f t="shared" si="12"/>
        <v>296.30606060606061</v>
      </c>
      <c r="H34" s="53">
        <f t="shared" si="12"/>
        <v>294.52352941176468</v>
      </c>
      <c r="I34" s="54">
        <f t="shared" si="12"/>
        <v>290.14444444444445</v>
      </c>
    </row>
    <row r="35" spans="1:9" x14ac:dyDescent="0.25">
      <c r="A35" s="55" t="s">
        <v>87</v>
      </c>
    </row>
    <row r="36" spans="1:9" x14ac:dyDescent="0.25">
      <c r="A36" s="55" t="s">
        <v>88</v>
      </c>
    </row>
    <row r="37" spans="1:9" x14ac:dyDescent="0.25">
      <c r="A37" s="55" t="s">
        <v>89</v>
      </c>
    </row>
    <row r="38" spans="1:9" x14ac:dyDescent="0.25">
      <c r="C38" s="41"/>
    </row>
    <row r="39" spans="1:9" x14ac:dyDescent="0.25">
      <c r="A39" s="1" t="s">
        <v>90</v>
      </c>
      <c r="B39" s="56">
        <f>B31</f>
        <v>116.5</v>
      </c>
      <c r="C39" s="49">
        <f t="shared" ref="C39:I39" si="13">C31-20</f>
        <v>127.59259259259258</v>
      </c>
      <c r="D39" s="49">
        <f t="shared" si="13"/>
        <v>106.5</v>
      </c>
      <c r="E39" s="49">
        <f t="shared" si="13"/>
        <v>104.51612903225806</v>
      </c>
      <c r="F39" s="49">
        <f t="shared" si="13"/>
        <v>102.5</v>
      </c>
      <c r="G39" s="49">
        <f t="shared" si="13"/>
        <v>100.60606060606061</v>
      </c>
      <c r="H39" s="49">
        <f t="shared" si="13"/>
        <v>98.82352941176471</v>
      </c>
      <c r="I39" s="50">
        <f t="shared" si="13"/>
        <v>94.444444444444443</v>
      </c>
    </row>
    <row r="40" spans="1:9" x14ac:dyDescent="0.25">
      <c r="B40" s="57">
        <f>B34</f>
        <v>292.2</v>
      </c>
      <c r="C40" s="53">
        <f t="shared" ref="C40:I40" si="14">C34-20</f>
        <v>303.29259259259254</v>
      </c>
      <c r="D40" s="53">
        <f t="shared" si="14"/>
        <v>282.2</v>
      </c>
      <c r="E40" s="53">
        <f t="shared" si="14"/>
        <v>280.21612903225804</v>
      </c>
      <c r="F40" s="53">
        <f t="shared" si="14"/>
        <v>278.2</v>
      </c>
      <c r="G40" s="53">
        <f t="shared" si="14"/>
        <v>276.30606060606061</v>
      </c>
      <c r="H40" s="53">
        <f t="shared" si="14"/>
        <v>274.52352941176468</v>
      </c>
      <c r="I40" s="54">
        <f t="shared" si="14"/>
        <v>270.14444444444445</v>
      </c>
    </row>
    <row r="41" spans="1:9" x14ac:dyDescent="0.25">
      <c r="A41" s="55" t="s">
        <v>91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7"/>
  <sheetViews>
    <sheetView tabSelected="1" zoomScale="96" zoomScaleNormal="96" workbookViewId="0">
      <selection activeCell="D21" sqref="D21:D22"/>
    </sheetView>
  </sheetViews>
  <sheetFormatPr baseColWidth="10" defaultColWidth="11.42578125" defaultRowHeight="15" x14ac:dyDescent="0.25"/>
  <cols>
    <col min="1" max="1" width="26.7109375" style="1" customWidth="1"/>
    <col min="2" max="2" width="23.28515625" style="1" customWidth="1"/>
    <col min="3" max="3" width="23.7109375" style="1" customWidth="1"/>
    <col min="4" max="4" width="33.42578125" style="1" customWidth="1"/>
    <col min="5" max="5" width="21.42578125" style="1" customWidth="1"/>
    <col min="6" max="6" width="42.42578125" style="1" customWidth="1"/>
    <col min="7" max="7" width="19.42578125" style="1" customWidth="1"/>
  </cols>
  <sheetData>
    <row r="1" spans="1:10" x14ac:dyDescent="0.25">
      <c r="D1" s="58"/>
      <c r="E1" s="58"/>
    </row>
    <row r="2" spans="1:10" s="6" customFormat="1" ht="15.75" x14ac:dyDescent="0.25">
      <c r="A2" s="59" t="s">
        <v>2</v>
      </c>
      <c r="B2" s="60" t="s">
        <v>92</v>
      </c>
      <c r="C2" s="60" t="s">
        <v>93</v>
      </c>
      <c r="D2" s="61" t="s">
        <v>94</v>
      </c>
      <c r="E2" s="62" t="s">
        <v>95</v>
      </c>
      <c r="F2" s="63" t="s">
        <v>96</v>
      </c>
      <c r="G2" s="64" t="s">
        <v>59</v>
      </c>
      <c r="I2" s="6" t="s">
        <v>97</v>
      </c>
      <c r="J2" s="6" t="s">
        <v>98</v>
      </c>
    </row>
    <row r="3" spans="1:10" ht="15.75" x14ac:dyDescent="0.25">
      <c r="A3" s="65" t="s">
        <v>54</v>
      </c>
      <c r="B3" s="1">
        <f>'Ne Pas transmettre  Tranches '!C33</f>
        <v>1</v>
      </c>
      <c r="C3" s="66">
        <v>-0.6</v>
      </c>
      <c r="D3" s="67">
        <f>ROUNDUP(G$15*(1+C3),0)</f>
        <v>58</v>
      </c>
      <c r="E3" s="68">
        <f>B3*D3</f>
        <v>58</v>
      </c>
      <c r="F3" s="69">
        <f>Tableau12[[#This Row],[Montant tranche Affiliés]]+B$15</f>
        <v>233.7</v>
      </c>
      <c r="G3" s="68">
        <f>Tableau12[[#This Row],[Nb de FF et SS]]*Tableau12[[#This Row],[Cotisation Globale]]</f>
        <v>233.7</v>
      </c>
      <c r="I3" s="70">
        <f>ROUNDUP(Tableau12[[#This Row],[Cotisation Globale]]-76,0)</f>
        <v>158</v>
      </c>
      <c r="J3" s="70">
        <f>ROUNDUP(Tableau12[[#This Row],[Montant tranche Affiliés]]-76,0)</f>
        <v>-18</v>
      </c>
    </row>
    <row r="4" spans="1:10" ht="15.75" x14ac:dyDescent="0.25">
      <c r="A4" s="65" t="s">
        <v>55</v>
      </c>
      <c r="B4" s="1">
        <f>'Ne Pas transmettre  Tranches '!C34</f>
        <v>0</v>
      </c>
      <c r="C4" s="66">
        <v>-0.3</v>
      </c>
      <c r="D4" s="67">
        <f>ROUNDUP(G$15*(1+C4),0)</f>
        <v>100</v>
      </c>
      <c r="E4" s="68">
        <f>B4*D4</f>
        <v>0</v>
      </c>
      <c r="F4" s="69">
        <f>Tableau12[[#This Row],[Montant tranche Affiliés]]+B$15</f>
        <v>275.7</v>
      </c>
      <c r="G4" s="68">
        <f>Tableau12[[#This Row],[Nb de FF et SS]]*Tableau12[[#This Row],[Cotisation Globale]]</f>
        <v>0</v>
      </c>
      <c r="I4" s="70">
        <f>ROUNDUP(Tableau12[[#This Row],[Cotisation Globale]]-76,0)</f>
        <v>200</v>
      </c>
      <c r="J4" s="70">
        <f>ROUNDUP(Tableau12[[#This Row],[Montant tranche Affiliés]]-76,0)</f>
        <v>24</v>
      </c>
    </row>
    <row r="5" spans="1:10" ht="15.75" x14ac:dyDescent="0.25">
      <c r="A5" s="65" t="s">
        <v>56</v>
      </c>
      <c r="B5" s="1">
        <f>'Ne Pas transmettre  Tranches '!C35</f>
        <v>22</v>
      </c>
      <c r="C5" s="1">
        <v>0</v>
      </c>
      <c r="D5" s="67">
        <f>ROUNDUP(G$15*(1+C5),0)</f>
        <v>143</v>
      </c>
      <c r="E5" s="68">
        <f>B5*D5</f>
        <v>3146</v>
      </c>
      <c r="F5" s="69">
        <f>Tableau12[[#This Row],[Montant tranche Affiliés]]+B$15</f>
        <v>318.7</v>
      </c>
      <c r="G5" s="68">
        <f>Tableau12[[#This Row],[Nb de FF et SS]]*Tableau12[[#This Row],[Cotisation Globale]]</f>
        <v>7011.4</v>
      </c>
      <c r="I5" s="70">
        <f>ROUNDUP(Tableau12[[#This Row],[Cotisation Globale]]-76,0)</f>
        <v>243</v>
      </c>
      <c r="J5" s="70">
        <f>ROUNDUP(Tableau12[[#This Row],[Montant tranche Affiliés]]-76,0)</f>
        <v>67</v>
      </c>
    </row>
    <row r="6" spans="1:10" ht="15.75" x14ac:dyDescent="0.25">
      <c r="A6" s="65" t="s">
        <v>57</v>
      </c>
      <c r="B6" s="1">
        <f>'Ne Pas transmettre  Tranches '!C36</f>
        <v>3</v>
      </c>
      <c r="C6" s="66">
        <v>0.3</v>
      </c>
      <c r="D6" s="67">
        <f>ROUNDUP(G$15*(1+C6),0)</f>
        <v>186</v>
      </c>
      <c r="E6" s="68">
        <f>B6*D6</f>
        <v>558</v>
      </c>
      <c r="F6" s="69">
        <f>Tableau12[[#This Row],[Montant tranche Affiliés]]+B$15</f>
        <v>361.7</v>
      </c>
      <c r="G6" s="68">
        <f>Tableau12[[#This Row],[Nb de FF et SS]]*Tableau12[[#This Row],[Cotisation Globale]]</f>
        <v>1085.0999999999999</v>
      </c>
      <c r="I6" s="70">
        <f>ROUNDUP(Tableau12[[#This Row],[Cotisation Globale]]-76,0)</f>
        <v>286</v>
      </c>
      <c r="J6" s="70">
        <f>ROUNDUP(Tableau12[[#This Row],[Montant tranche Affiliés]]-76,0)</f>
        <v>110</v>
      </c>
    </row>
    <row r="7" spans="1:10" ht="15.75" x14ac:dyDescent="0.25">
      <c r="A7" s="65" t="s">
        <v>58</v>
      </c>
      <c r="B7" s="1">
        <f>'Ne Pas transmettre  Tranches '!C37</f>
        <v>1</v>
      </c>
      <c r="C7" s="66">
        <v>0.6</v>
      </c>
      <c r="D7" s="67">
        <f>ROUNDUP(G$15*(1+C7),0)</f>
        <v>229</v>
      </c>
      <c r="E7" s="68">
        <f>B7*D7</f>
        <v>229</v>
      </c>
      <c r="F7" s="69">
        <f>Tableau12[[#This Row],[Montant tranche Affiliés]]+B$15</f>
        <v>404.7</v>
      </c>
      <c r="G7" s="68">
        <f>Tableau12[[#This Row],[Nb de FF et SS]]*Tableau12[[#This Row],[Cotisation Globale]]</f>
        <v>404.7</v>
      </c>
      <c r="I7" s="70">
        <f>ROUNDUP(Tableau12[[#This Row],[Cotisation Globale]]-76,0)</f>
        <v>329</v>
      </c>
      <c r="J7" s="70">
        <f>ROUNDUP(Tableau12[[#This Row],[Montant tranche Affiliés]]-76,0)</f>
        <v>153</v>
      </c>
    </row>
    <row r="8" spans="1:10" ht="15.75" x14ac:dyDescent="0.25">
      <c r="A8" s="59" t="s">
        <v>59</v>
      </c>
      <c r="B8" s="71">
        <f>SUM(B3:B7)</f>
        <v>27</v>
      </c>
      <c r="C8" s="65"/>
      <c r="D8" s="72"/>
      <c r="E8" s="73">
        <f>SUM(E3:E7)</f>
        <v>3991</v>
      </c>
      <c r="F8" s="72"/>
      <c r="G8" s="73">
        <f>SUM(G3:G7)</f>
        <v>8734.9</v>
      </c>
      <c r="I8" s="58"/>
    </row>
    <row r="9" spans="1:10" x14ac:dyDescent="0.25">
      <c r="D9" s="58"/>
      <c r="E9" s="58"/>
    </row>
    <row r="10" spans="1:10" ht="15.75" x14ac:dyDescent="0.25">
      <c r="A10" s="74" t="s">
        <v>99</v>
      </c>
      <c r="B10" s="75">
        <v>6</v>
      </c>
      <c r="D10" s="58"/>
      <c r="E10" s="58"/>
    </row>
    <row r="11" spans="1:10" ht="15.75" x14ac:dyDescent="0.25">
      <c r="A11" s="76"/>
      <c r="D11" s="58"/>
      <c r="E11" s="58"/>
      <c r="F11" s="58"/>
      <c r="G11" s="58"/>
    </row>
    <row r="12" spans="1:10" ht="15.75" x14ac:dyDescent="0.25">
      <c r="A12" s="65"/>
      <c r="B12" s="65"/>
      <c r="C12" s="65"/>
      <c r="D12" s="72"/>
      <c r="E12" s="72"/>
    </row>
    <row r="14" spans="1:10" ht="15.75" x14ac:dyDescent="0.25">
      <c r="C14" s="76" t="s">
        <v>100</v>
      </c>
      <c r="D14" s="77">
        <f>'Budget  Previsionnel'!C22</f>
        <v>7674.7</v>
      </c>
      <c r="F14" s="76" t="s">
        <v>101</v>
      </c>
      <c r="G14" s="76"/>
    </row>
    <row r="15" spans="1:10" ht="15.75" x14ac:dyDescent="0.25">
      <c r="A15" s="65" t="s">
        <v>102</v>
      </c>
      <c r="B15" s="78">
        <f>171.7+4</f>
        <v>175.7</v>
      </c>
      <c r="C15" s="65" t="s">
        <v>103</v>
      </c>
      <c r="D15" s="79">
        <f>D14-B15*(B8-B10)</f>
        <v>3985</v>
      </c>
      <c r="F15" s="2" t="s">
        <v>104</v>
      </c>
      <c r="G15" s="80">
        <f>D15/(B3*(1+C3)+B4*(1+C4)+B5*(1+C5)+B6*(1+C6)+B7*(1+C7))</f>
        <v>142.83154121863799</v>
      </c>
    </row>
    <row r="16" spans="1:10" ht="15.75" x14ac:dyDescent="0.25">
      <c r="A16" s="81" t="s">
        <v>105</v>
      </c>
      <c r="B16" s="81"/>
      <c r="C16" s="81" t="s">
        <v>106</v>
      </c>
      <c r="D16" s="78"/>
    </row>
    <row r="17" spans="6:7" ht="15.75" x14ac:dyDescent="0.25">
      <c r="F17" s="65" t="s">
        <v>107</v>
      </c>
      <c r="G17" s="78">
        <f>D15/B8</f>
        <v>147.59259259259258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4:C13"/>
  <sheetViews>
    <sheetView zoomScale="125" zoomScaleNormal="125" workbookViewId="0"/>
  </sheetViews>
  <sheetFormatPr baseColWidth="10" defaultColWidth="11.42578125" defaultRowHeight="15" x14ac:dyDescent="0.25"/>
  <cols>
    <col min="1" max="1" width="46.28515625" style="1" customWidth="1"/>
    <col min="2" max="2" width="21" style="1" customWidth="1"/>
    <col min="3" max="3" width="21.85546875" style="1" customWidth="1"/>
  </cols>
  <sheetData>
    <row r="4" spans="1:3" ht="18.75" x14ac:dyDescent="0.3">
      <c r="A4" s="82" t="s">
        <v>108</v>
      </c>
      <c r="B4" s="82" t="s">
        <v>109</v>
      </c>
      <c r="C4" s="82" t="s">
        <v>110</v>
      </c>
    </row>
    <row r="5" spans="1:3" ht="18.75" x14ac:dyDescent="0.3">
      <c r="A5" s="83" t="s">
        <v>111</v>
      </c>
      <c r="B5" s="83" t="s">
        <v>112</v>
      </c>
      <c r="C5" s="83">
        <v>1</v>
      </c>
    </row>
    <row r="6" spans="1:3" ht="18.75" x14ac:dyDescent="0.3">
      <c r="A6" s="83" t="s">
        <v>113</v>
      </c>
      <c r="B6" s="83" t="s">
        <v>114</v>
      </c>
      <c r="C6" s="83">
        <v>2</v>
      </c>
    </row>
    <row r="7" spans="1:3" ht="18.75" x14ac:dyDescent="0.3">
      <c r="A7" s="83" t="s">
        <v>115</v>
      </c>
      <c r="B7" s="83" t="s">
        <v>116</v>
      </c>
      <c r="C7" s="83">
        <v>3</v>
      </c>
    </row>
    <row r="8" spans="1:3" ht="18.75" x14ac:dyDescent="0.3">
      <c r="A8" s="83" t="s">
        <v>117</v>
      </c>
      <c r="B8" s="83" t="s">
        <v>118</v>
      </c>
      <c r="C8" s="83">
        <v>4</v>
      </c>
    </row>
    <row r="9" spans="1:3" ht="18.75" x14ac:dyDescent="0.3">
      <c r="A9" s="83" t="s">
        <v>119</v>
      </c>
      <c r="B9" s="83" t="s">
        <v>120</v>
      </c>
      <c r="C9" s="83">
        <v>5</v>
      </c>
    </row>
    <row r="13" spans="1:3" x14ac:dyDescent="0.25">
      <c r="A13" s="1" t="s">
        <v>121</v>
      </c>
      <c r="B13" s="84" t="s">
        <v>122</v>
      </c>
    </row>
  </sheetData>
  <hyperlinks>
    <hyperlink ref="B13" r:id="rId1" xr:uid="{00000000-0004-0000-0300-000000000000}"/>
  </hyperlinks>
  <pageMargins left="0.7" right="0.7" top="0.75" bottom="0.75" header="0.511811023622047" footer="0.511811023622047"/>
  <pageSetup paperSize="9" orientation="portrait" horizontalDpi="300" verticalDpi="300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00667-1776-44C5-8874-52491BABF0C7}">
  <dimension ref="A1:D27"/>
  <sheetViews>
    <sheetView workbookViewId="0">
      <selection activeCell="D12" sqref="D12"/>
    </sheetView>
  </sheetViews>
  <sheetFormatPr baseColWidth="10" defaultRowHeight="15" x14ac:dyDescent="0.25"/>
  <cols>
    <col min="1" max="1" width="31.85546875" bestFit="1" customWidth="1"/>
  </cols>
  <sheetData>
    <row r="1" spans="1:4" x14ac:dyDescent="0.25">
      <c r="D1" s="85">
        <f>SUM(D3:D26)</f>
        <v>7858.78</v>
      </c>
    </row>
    <row r="2" spans="1:4" x14ac:dyDescent="0.25">
      <c r="A2" t="s">
        <v>123</v>
      </c>
      <c r="B2" t="s">
        <v>125</v>
      </c>
      <c r="C2" t="s">
        <v>126</v>
      </c>
      <c r="D2" t="s">
        <v>59</v>
      </c>
    </row>
    <row r="3" spans="1:4" x14ac:dyDescent="0.25">
      <c r="A3" t="s">
        <v>124</v>
      </c>
      <c r="B3" s="85">
        <v>100</v>
      </c>
      <c r="C3">
        <v>20</v>
      </c>
      <c r="D3" s="85">
        <f>B3*C3</f>
        <v>2000</v>
      </c>
    </row>
    <row r="4" spans="1:4" x14ac:dyDescent="0.25">
      <c r="A4" t="s">
        <v>127</v>
      </c>
      <c r="B4" s="85">
        <v>100</v>
      </c>
      <c r="C4">
        <v>3</v>
      </c>
      <c r="D4" s="85">
        <f t="shared" ref="D4:D14" si="0">B4*C4</f>
        <v>300</v>
      </c>
    </row>
    <row r="5" spans="1:4" x14ac:dyDescent="0.25">
      <c r="A5" t="s">
        <v>65</v>
      </c>
      <c r="B5" s="85"/>
      <c r="D5" s="85">
        <f t="shared" si="0"/>
        <v>0</v>
      </c>
    </row>
    <row r="6" spans="1:4" x14ac:dyDescent="0.25">
      <c r="A6" t="s">
        <v>67</v>
      </c>
      <c r="B6" s="85">
        <v>30</v>
      </c>
      <c r="C6">
        <v>1</v>
      </c>
      <c r="D6" s="85">
        <f t="shared" si="0"/>
        <v>30</v>
      </c>
    </row>
    <row r="7" spans="1:4" x14ac:dyDescent="0.25">
      <c r="A7" t="s">
        <v>68</v>
      </c>
      <c r="B7" s="85">
        <v>500</v>
      </c>
      <c r="C7">
        <v>1</v>
      </c>
      <c r="D7" s="85">
        <f t="shared" si="0"/>
        <v>500</v>
      </c>
    </row>
    <row r="8" spans="1:4" x14ac:dyDescent="0.25">
      <c r="A8" t="s">
        <v>69</v>
      </c>
      <c r="B8" s="85">
        <f>190+25+25+80+80</f>
        <v>400</v>
      </c>
      <c r="C8">
        <v>1</v>
      </c>
      <c r="D8" s="85">
        <f t="shared" si="0"/>
        <v>400</v>
      </c>
    </row>
    <row r="9" spans="1:4" x14ac:dyDescent="0.25">
      <c r="A9" t="s">
        <v>70</v>
      </c>
      <c r="B9" s="85">
        <v>30</v>
      </c>
      <c r="C9">
        <v>1</v>
      </c>
      <c r="D9" s="85">
        <f t="shared" si="0"/>
        <v>30</v>
      </c>
    </row>
    <row r="10" spans="1:4" x14ac:dyDescent="0.25">
      <c r="A10" t="s">
        <v>71</v>
      </c>
      <c r="B10" s="85">
        <v>100</v>
      </c>
      <c r="C10">
        <v>1</v>
      </c>
      <c r="D10" s="85">
        <f t="shared" si="0"/>
        <v>100</v>
      </c>
    </row>
    <row r="11" spans="1:4" x14ac:dyDescent="0.25">
      <c r="A11" t="s">
        <v>72</v>
      </c>
      <c r="B11" s="85">
        <v>9.09</v>
      </c>
      <c r="C11">
        <v>12</v>
      </c>
      <c r="D11" s="85">
        <f t="shared" si="0"/>
        <v>109.08</v>
      </c>
    </row>
    <row r="12" spans="1:4" x14ac:dyDescent="0.25">
      <c r="A12" t="s">
        <v>73</v>
      </c>
      <c r="B12" s="85"/>
      <c r="D12" s="85">
        <f t="shared" si="0"/>
        <v>0</v>
      </c>
    </row>
    <row r="13" spans="1:4" x14ac:dyDescent="0.25">
      <c r="A13" t="s">
        <v>74</v>
      </c>
      <c r="B13" s="85">
        <v>20</v>
      </c>
      <c r="C13">
        <v>27</v>
      </c>
      <c r="D13" s="85">
        <f t="shared" si="0"/>
        <v>540</v>
      </c>
    </row>
    <row r="14" spans="1:4" x14ac:dyDescent="0.25">
      <c r="A14" t="s">
        <v>128</v>
      </c>
      <c r="B14" s="85">
        <v>40</v>
      </c>
      <c r="C14">
        <v>4</v>
      </c>
      <c r="D14" s="85">
        <f t="shared" si="0"/>
        <v>160</v>
      </c>
    </row>
    <row r="15" spans="1:4" x14ac:dyDescent="0.25">
      <c r="B15" s="85"/>
      <c r="D15" s="85"/>
    </row>
    <row r="16" spans="1:4" x14ac:dyDescent="0.25">
      <c r="B16" s="85"/>
      <c r="D16" s="85"/>
    </row>
    <row r="17" spans="1:4" x14ac:dyDescent="0.25">
      <c r="B17" s="85"/>
      <c r="D17" s="85"/>
    </row>
    <row r="18" spans="1:4" x14ac:dyDescent="0.25">
      <c r="B18" s="85"/>
      <c r="D18" s="85"/>
    </row>
    <row r="19" spans="1:4" x14ac:dyDescent="0.25">
      <c r="B19" s="85"/>
      <c r="D19" s="85"/>
    </row>
    <row r="20" spans="1:4" x14ac:dyDescent="0.25">
      <c r="B20" s="85"/>
      <c r="D20" s="85"/>
    </row>
    <row r="24" spans="1:4" x14ac:dyDescent="0.25">
      <c r="A24" t="s">
        <v>131</v>
      </c>
      <c r="B24">
        <v>171.7</v>
      </c>
      <c r="D24">
        <f>B27*B24</f>
        <v>3605.7</v>
      </c>
    </row>
    <row r="25" spans="1:4" x14ac:dyDescent="0.25">
      <c r="A25" t="s">
        <v>130</v>
      </c>
      <c r="B25">
        <v>4</v>
      </c>
      <c r="D25">
        <f>B27*B25</f>
        <v>84</v>
      </c>
    </row>
    <row r="26" spans="1:4" x14ac:dyDescent="0.25">
      <c r="A26" t="s">
        <v>99</v>
      </c>
      <c r="B26">
        <v>6</v>
      </c>
    </row>
    <row r="27" spans="1:4" x14ac:dyDescent="0.25">
      <c r="A27" t="s">
        <v>129</v>
      </c>
      <c r="B27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Ne Pas transmettre  Tranches </vt:lpstr>
      <vt:lpstr>Budget  Previsionnel</vt:lpstr>
      <vt:lpstr>Outil de Calcul</vt:lpstr>
      <vt:lpstr>Tranche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Dominique GUERNE</dc:creator>
  <dc:description/>
  <cp:lastModifiedBy>AUER Francois-Regis</cp:lastModifiedBy>
  <cp:revision>6</cp:revision>
  <dcterms:created xsi:type="dcterms:W3CDTF">2022-06-06T13:41:39Z</dcterms:created>
  <dcterms:modified xsi:type="dcterms:W3CDTF">2023-10-27T06:59:08Z</dcterms:modified>
  <dc:language>fr-FR</dc:language>
</cp:coreProperties>
</file>